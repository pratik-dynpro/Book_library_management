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 Docs" sheetId="2" state="visible" r:id="rId2"/>
    <sheet name="Packets" sheetId="3" state="visible" r:id="rId3"/>
    <sheet name="Acceptance Criteria" sheetId="4" state="visible" r:id="rId4"/>
    <sheet name="Open Questions" sheetId="5" state="visible" r:id="rId5"/>
    <sheet name="User Sto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1F3A5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4A6FA5"/>
      </patternFill>
    </fill>
    <fill>
      <patternFill patternType="solid">
        <fgColor rgb="00E8EC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sz val="10"/>
      </font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 ht="32" customHeight="1">
      <c r="A1" s="1" t="inlineStr">
        <is>
          <t>Book Library Management — Project Tracker</t>
        </is>
      </c>
    </row>
    <row r="2" ht="18" customHeight="1">
      <c r="A2" s="2" t="inlineStr">
        <is>
          <t>AI-SDLC build process · product → modules → features → packets · updated live</t>
        </is>
      </c>
    </row>
    <row r="4" ht="22" customHeight="1">
      <c r="A4" s="3" t="inlineStr">
        <is>
          <t>Progress at a glance</t>
        </is>
      </c>
    </row>
    <row r="5" ht="28" customHeight="1">
      <c r="A5" s="4" t="inlineStr">
        <is>
          <t>Stage</t>
        </is>
      </c>
      <c r="B5" s="4" t="inlineStr">
        <is>
          <t>Total</t>
        </is>
      </c>
      <c r="C5" s="4" t="inlineStr">
        <is>
          <t>Done</t>
        </is>
      </c>
      <c r="D5" s="4" t="inlineStr">
        <is>
          <t>In progress</t>
        </is>
      </c>
      <c r="E5" s="4" t="inlineStr">
        <is>
          <t>Blocked</t>
        </is>
      </c>
      <c r="F5" s="4" t="inlineStr">
        <is>
          <t>% Done</t>
        </is>
      </c>
    </row>
    <row r="6">
      <c r="A6" s="5" t="inlineStr">
        <is>
          <t>Product docs (24)</t>
        </is>
      </c>
      <c r="B6" s="6">
        <f>COUNTA('Product Docs'!B5:B28)</f>
        <v/>
      </c>
      <c r="C6" s="6">
        <f>COUNTIF('Product Docs'!D5:D28,"Done")</f>
        <v/>
      </c>
      <c r="D6" s="6">
        <f>COUNTIF('Product Docs'!D5:D28,"In progress")</f>
        <v/>
      </c>
      <c r="E6" s="6">
        <f>COUNTIF('Product Docs'!D5:D28,"Blocked")</f>
        <v/>
      </c>
      <c r="F6" s="7">
        <f>IFERROR(C6/B6,0)</f>
        <v/>
      </c>
    </row>
    <row r="7">
      <c r="A7" s="8" t="inlineStr">
        <is>
          <t>Packets — BRD</t>
        </is>
      </c>
      <c r="B7" s="9">
        <f>COUNTA(Packets!B5:B17)</f>
        <v/>
      </c>
      <c r="C7" s="9">
        <f>COUNTIF(Packets!E5:E17,"Done")</f>
        <v/>
      </c>
      <c r="D7" s="9">
        <f>COUNTIF(Packets!E5:E17,"In progress")</f>
        <v/>
      </c>
      <c r="E7" s="9">
        <f>COUNTIF(Packets!E5:E17,"Blocked")</f>
        <v/>
      </c>
      <c r="F7" s="10">
        <f>IFERROR(C7/B7,0)</f>
        <v/>
      </c>
    </row>
    <row r="8">
      <c r="A8" s="5" t="inlineStr">
        <is>
          <t>Packets — DESIGN</t>
        </is>
      </c>
      <c r="B8" s="6">
        <f>COUNTA(Packets!B5:B17)</f>
        <v/>
      </c>
      <c r="C8" s="6">
        <f>COUNTIF(Packets!F5:F17,"Done")</f>
        <v/>
      </c>
      <c r="D8" s="6">
        <f>COUNTIF(Packets!F5:F17,"In progress")</f>
        <v/>
      </c>
      <c r="E8" s="6">
        <f>COUNTIF(Packets!F5:F17,"Blocked")</f>
        <v/>
      </c>
      <c r="F8" s="7">
        <f>IFERROR(C8/B8,0)</f>
        <v/>
      </c>
    </row>
    <row r="9">
      <c r="A9" s="8" t="inlineStr">
        <is>
          <t>Packets — BUILD prompt</t>
        </is>
      </c>
      <c r="B9" s="9">
        <f>COUNTA(Packets!B5:B17)</f>
        <v/>
      </c>
      <c r="C9" s="9">
        <f>COUNTIF(Packets!G5:G17,"Done")</f>
        <v/>
      </c>
      <c r="D9" s="9">
        <f>COUNTIF(Packets!G5:G17,"In progress")</f>
        <v/>
      </c>
      <c r="E9" s="9">
        <f>COUNTIF(Packets!G5:G17,"Blocked")</f>
        <v/>
      </c>
      <c r="F9" s="10">
        <f>IFERROR(C9/B9,0)</f>
        <v/>
      </c>
    </row>
    <row r="10">
      <c r="A10" s="5" t="inlineStr">
        <is>
          <t>Packets — Execution</t>
        </is>
      </c>
      <c r="B10" s="6">
        <f>COUNTA(Packets!B5:B17)</f>
        <v/>
      </c>
      <c r="C10" s="6">
        <f>COUNTIF(Packets!H5:H17,"Done")</f>
        <v/>
      </c>
      <c r="D10" s="6">
        <f>COUNTIF(Packets!H5:H17,"In progress")</f>
        <v/>
      </c>
      <c r="E10" s="6">
        <f>COUNTIF(Packets!H5:H17,"Blocked")</f>
        <v/>
      </c>
      <c r="F10" s="7">
        <f>IFERROR(C10/B10,0)</f>
        <v/>
      </c>
    </row>
    <row r="11">
      <c r="A11" s="8" t="inlineStr">
        <is>
          <t>Packets — ENG-QA prompt</t>
        </is>
      </c>
      <c r="B11" s="9">
        <f>COUNTA(Packets!B5:B17)</f>
        <v/>
      </c>
      <c r="C11" s="9">
        <f>COUNTIF(Packets!I5:I17,"Done")</f>
        <v/>
      </c>
      <c r="D11" s="9">
        <f>COUNTIF(Packets!I5:I17,"In progress")</f>
        <v/>
      </c>
      <c r="E11" s="9">
        <f>COUNTIF(Packets!I5:I17,"Blocked")</f>
        <v/>
      </c>
      <c r="F11" s="10">
        <f>IFERROR(C11/B11,0)</f>
        <v/>
      </c>
    </row>
    <row r="12">
      <c r="A12" s="5" t="inlineStr">
        <is>
          <t>Packets — Evidence (gate)</t>
        </is>
      </c>
      <c r="B12" s="6">
        <f>COUNTA(Packets!B5:B17)</f>
        <v/>
      </c>
      <c r="C12" s="6">
        <f>COUNTIF(Packets!J5:J17,"Done")</f>
        <v/>
      </c>
      <c r="D12" s="6">
        <f>COUNTIF(Packets!J5:J17,"In progress")</f>
        <v/>
      </c>
      <c r="E12" s="6">
        <f>COUNTIF(Packets!J5:J17,"Blocked")</f>
        <v/>
      </c>
      <c r="F12" s="7">
        <f>IFERROR(C12/B12,0)</f>
        <v/>
      </c>
    </row>
    <row r="15">
      <c r="A15" s="3" t="inlineStr">
        <is>
          <t>Legend</t>
        </is>
      </c>
    </row>
    <row r="16">
      <c r="A16" s="11" t="inlineStr">
        <is>
          <t>Done</t>
        </is>
      </c>
      <c r="B16" s="12" t="inlineStr">
        <is>
          <t>Authored / executed / gate green — depending on the stage.</t>
        </is>
      </c>
      <c r="C16" s="19" t="n"/>
      <c r="D16" s="19" t="n"/>
      <c r="E16" s="19" t="n"/>
      <c r="F16" s="20" t="n"/>
    </row>
    <row r="17">
      <c r="A17" s="13" t="inlineStr">
        <is>
          <t>In progress</t>
        </is>
      </c>
      <c r="B17" s="12" t="inlineStr">
        <is>
          <t>Started but not yet meeting the stage's done definition.</t>
        </is>
      </c>
      <c r="C17" s="19" t="n"/>
      <c r="D17" s="19" t="n"/>
      <c r="E17" s="19" t="n"/>
      <c r="F17" s="20" t="n"/>
    </row>
    <row r="18">
      <c r="A18" s="14" t="inlineStr">
        <is>
          <t>Blocked</t>
        </is>
      </c>
      <c r="B18" s="12" t="inlineStr">
        <is>
          <t>Cannot proceed — see linked Open Question or note in the row.</t>
        </is>
      </c>
      <c r="C18" s="19" t="n"/>
      <c r="D18" s="19" t="n"/>
      <c r="E18" s="19" t="n"/>
      <c r="F18" s="20" t="n"/>
    </row>
    <row r="19">
      <c r="A19" s="15" t="inlineStr">
        <is>
          <t>Not started</t>
        </is>
      </c>
      <c r="B19" s="12" t="inlineStr">
        <is>
          <t>Nothing written or executed yet.</t>
        </is>
      </c>
      <c r="C19" s="19" t="n"/>
      <c r="D19" s="19" t="n"/>
      <c r="E19" s="19" t="n"/>
      <c r="F19" s="20" t="n"/>
    </row>
    <row r="22">
      <c r="A22" s="3" t="inlineStr">
        <is>
          <t>How to use</t>
        </is>
      </c>
    </row>
    <row r="23">
      <c r="A23" s="16" t="inlineStr">
        <is>
          <t>1. Update Status cells on the Product Docs and Packets sheets — KPI cards roll up automatically.</t>
        </is>
      </c>
    </row>
    <row r="24">
      <c r="A24" s="16" t="inlineStr">
        <is>
          <t>2. Acceptance Criteria sheet tracks per-AC verdicts captured by QA sessions; mark each as Pass / Fail once the packet's Evidence.md closes.</t>
        </is>
      </c>
    </row>
    <row r="25">
      <c r="A25" s="16" t="inlineStr">
        <is>
          <t>3. Open Questions: anything Blocker bounces the Status of dependent rows in other sheets.</t>
        </is>
      </c>
    </row>
    <row r="26">
      <c r="A26" s="16" t="inlineStr">
        <is>
          <t>4. Keep the Owner column current — it tells the next session who's accountable.</t>
        </is>
      </c>
    </row>
    <row r="27">
      <c r="A27" s="16" t="inlineStr">
        <is>
          <t>5. The Notes column on Packets is the spot for a one-line build/QA summary that the next session reads before resuming.</t>
        </is>
      </c>
    </row>
    <row r="29">
      <c r="A29" s="3" t="inlineStr">
        <is>
          <t>Resume on a new day</t>
        </is>
      </c>
    </row>
    <row r="30">
      <c r="A30" t="inlineStr">
        <is>
          <t>Read CLAUDE.md at the project root first. It lists current state, packet status, design tokens, run commands, and the next packet to execute. Last updated: 2026-06-29.</t>
        </is>
      </c>
    </row>
  </sheetData>
  <mergeCells count="12">
    <mergeCell ref="A24:F24"/>
    <mergeCell ref="A2:F2"/>
    <mergeCell ref="B16:F16"/>
    <mergeCell ref="A1:F1"/>
    <mergeCell ref="A23:F23"/>
    <mergeCell ref="B19:F19"/>
    <mergeCell ref="A27:F27"/>
    <mergeCell ref="A26:F26"/>
    <mergeCell ref="A30:F30"/>
    <mergeCell ref="B17:F17"/>
    <mergeCell ref="B18:F18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2" customWidth="1" min="5" max="5"/>
    <col width="14" customWidth="1" min="6" max="6"/>
    <col width="60" customWidth="1" min="7" max="7"/>
  </cols>
  <sheetData>
    <row r="1" ht="32" customHeight="1">
      <c r="A1" s="1" t="inlineStr">
        <is>
          <t>Stage 1 · Product Planning Documents</t>
        </is>
      </c>
    </row>
    <row r="2" ht="18" customHeight="1">
      <c r="A2" s="2" t="inlineStr">
        <is>
          <t>24 docs across Discovery → Phase A–F. Status currently reflects what the agent has authored.</t>
        </is>
      </c>
    </row>
    <row r="4" ht="28" customHeight="1">
      <c r="A4" s="4" t="inlineStr">
        <is>
          <t>Phase</t>
        </is>
      </c>
      <c r="B4" s="4" t="inlineStr">
        <is>
          <t>ID</t>
        </is>
      </c>
      <c r="C4" s="4" t="inlineStr">
        <is>
          <t>File</t>
        </is>
      </c>
      <c r="D4" s="4" t="inlineStr">
        <is>
          <t>Status</t>
        </is>
      </c>
      <c r="E4" s="4" t="inlineStr">
        <is>
          <t>Owner</t>
        </is>
      </c>
      <c r="F4" s="4" t="inlineStr">
        <is>
          <t>Last updated</t>
        </is>
      </c>
      <c r="G4" s="4" t="inlineStr">
        <is>
          <t>Notes</t>
        </is>
      </c>
    </row>
    <row r="5">
      <c r="A5" s="17" t="inlineStr">
        <is>
          <t>Discovery</t>
        </is>
      </c>
      <c r="B5" s="17" t="inlineStr">
        <is>
          <t>D0</t>
        </is>
      </c>
      <c r="C5" s="17" t="inlineStr">
        <is>
          <t>D0-BRD.md</t>
        </is>
      </c>
      <c r="D5" s="17" t="inlineStr">
        <is>
          <t>Done</t>
        </is>
      </c>
      <c r="E5" s="17" t="inlineStr">
        <is>
          <t>Builder</t>
        </is>
      </c>
      <c r="F5" s="17" t="inlineStr">
        <is>
          <t>2026-06-23</t>
        </is>
      </c>
      <c r="G5" s="17" t="inlineStr">
        <is>
          <t>Stack constraints updated to Postgres-only; frontend-skill note added.</t>
        </is>
      </c>
    </row>
    <row r="6">
      <c r="A6" s="18" t="inlineStr">
        <is>
          <t>Discovery</t>
        </is>
      </c>
      <c r="B6" s="18" t="inlineStr">
        <is>
          <t>OQ</t>
        </is>
      </c>
      <c r="C6" s="18" t="inlineStr">
        <is>
          <t>OQ-OPEN-QUESTIONS.md</t>
        </is>
      </c>
      <c r="D6" s="18" t="inlineStr">
        <is>
          <t>Done</t>
        </is>
      </c>
      <c r="E6" s="18" t="inlineStr">
        <is>
          <t>Builder</t>
        </is>
      </c>
      <c r="F6" s="18" t="inlineStr">
        <is>
          <t>2026-06-23</t>
        </is>
      </c>
      <c r="G6" s="18" t="inlineStr">
        <is>
          <t>OQ-002 resolved; OQ-001 still open.</t>
        </is>
      </c>
    </row>
    <row r="7">
      <c r="A7" s="17" t="inlineStr">
        <is>
          <t>Phase A</t>
        </is>
      </c>
      <c r="B7" s="17" t="inlineStr">
        <is>
          <t>D1</t>
        </is>
      </c>
      <c r="C7" s="17" t="inlineStr">
        <is>
          <t>D1-ROADMAP.md</t>
        </is>
      </c>
      <c r="D7" s="17" t="inlineStr">
        <is>
          <t>Done</t>
        </is>
      </c>
      <c r="E7" s="17" t="inlineStr">
        <is>
          <t>Builder</t>
        </is>
      </c>
      <c r="F7" s="17" t="inlineStr">
        <is>
          <t>2026-06-23</t>
        </is>
      </c>
      <c r="G7" s="17" t="inlineStr">
        <is>
          <t>Two drops: walking skeleton + polish/deploy.</t>
        </is>
      </c>
    </row>
    <row r="8">
      <c r="A8" s="18" t="inlineStr">
        <is>
          <t>Phase A</t>
        </is>
      </c>
      <c r="B8" s="18" t="inlineStr">
        <is>
          <t>D2</t>
        </is>
      </c>
      <c r="C8" s="18" t="inlineStr">
        <is>
          <t>D2-PRD.md</t>
        </is>
      </c>
      <c r="D8" s="18" t="inlineStr">
        <is>
          <t>Done</t>
        </is>
      </c>
      <c r="E8" s="18" t="inlineStr">
        <is>
          <t>Builder</t>
        </is>
      </c>
      <c r="F8" s="18" t="inlineStr">
        <is>
          <t>2026-06-23</t>
        </is>
      </c>
      <c r="G8" s="18" t="inlineStr">
        <is>
          <t>5 user journeys.</t>
        </is>
      </c>
    </row>
    <row r="9">
      <c r="A9" s="17" t="inlineStr">
        <is>
          <t>Phase A</t>
        </is>
      </c>
      <c r="B9" s="17" t="inlineStr">
        <is>
          <t>D15a</t>
        </is>
      </c>
      <c r="C9" s="17" t="inlineStr">
        <is>
          <t>D15a-USER-STORIES-v1.md</t>
        </is>
      </c>
      <c r="D9" s="17" t="inlineStr">
        <is>
          <t>Done</t>
        </is>
      </c>
      <c r="E9" s="17" t="inlineStr">
        <is>
          <t>Builder</t>
        </is>
      </c>
      <c r="F9" s="17" t="inlineStr">
        <is>
          <t>2026-06-23</t>
        </is>
      </c>
      <c r="G9" s="17" t="inlineStr">
        <is>
          <t>12 stories US-01..US-12.</t>
        </is>
      </c>
    </row>
    <row r="10">
      <c r="A10" s="18" t="inlineStr">
        <is>
          <t>Phase A</t>
        </is>
      </c>
      <c r="B10" s="18" t="inlineStr">
        <is>
          <t>D5</t>
        </is>
      </c>
      <c r="C10" s="18" t="inlineStr">
        <is>
          <t>D5-ARCHITECTURE.md</t>
        </is>
      </c>
      <c r="D10" s="18" t="inlineStr">
        <is>
          <t>Done</t>
        </is>
      </c>
      <c r="E10" s="18" t="inlineStr">
        <is>
          <t>Builder</t>
        </is>
      </c>
      <c r="F10" s="18" t="inlineStr">
        <is>
          <t>2026-06-23</t>
        </is>
      </c>
      <c r="G10" s="18" t="inlineStr">
        <is>
          <t>Postgres + Alembic; folder layout updated.</t>
        </is>
      </c>
    </row>
    <row r="11">
      <c r="A11" s="17" t="inlineStr">
        <is>
          <t>Phase A</t>
        </is>
      </c>
      <c r="B11" s="17" t="inlineStr">
        <is>
          <t>D5b</t>
        </is>
      </c>
      <c r="C11" s="17" t="inlineStr">
        <is>
          <t>D5b-AI-READINESS.md</t>
        </is>
      </c>
      <c r="D11" s="17" t="inlineStr">
        <is>
          <t>Done</t>
        </is>
      </c>
      <c r="E11" s="17" t="inlineStr">
        <is>
          <t>Builder</t>
        </is>
      </c>
      <c r="F11" s="17" t="inlineStr">
        <is>
          <t>2026-06-23</t>
        </is>
      </c>
      <c r="G11" s="17" t="inlineStr">
        <is>
          <t>Composite 41/45 → AI-led.</t>
        </is>
      </c>
    </row>
    <row r="12">
      <c r="A12" s="18" t="inlineStr">
        <is>
          <t>Phase B</t>
        </is>
      </c>
      <c r="B12" s="18" t="inlineStr">
        <is>
          <t>D3</t>
        </is>
      </c>
      <c r="C12" s="18" t="inlineStr">
        <is>
          <t>D3-FEATURE-CATALOG.md</t>
        </is>
      </c>
      <c r="D12" s="18" t="inlineStr">
        <is>
          <t>Done</t>
        </is>
      </c>
      <c r="E12" s="18" t="inlineStr">
        <is>
          <t>Builder</t>
        </is>
      </c>
      <c r="F12" s="18" t="inlineStr">
        <is>
          <t>2026-06-23</t>
        </is>
      </c>
      <c r="G12" s="18" t="inlineStr">
        <is>
          <t>9 features mapped to packets.</t>
        </is>
      </c>
    </row>
    <row r="13">
      <c r="A13" s="17" t="inlineStr">
        <is>
          <t>Phase B</t>
        </is>
      </c>
      <c r="B13" s="17" t="inlineStr">
        <is>
          <t>D10</t>
        </is>
      </c>
      <c r="C13" s="17" t="inlineStr">
        <is>
          <t>D10-QUALITY-NFRs.md</t>
        </is>
      </c>
      <c r="D13" s="17" t="inlineStr">
        <is>
          <t>Done</t>
        </is>
      </c>
      <c r="E13" s="17" t="inlineStr">
        <is>
          <t>Builder</t>
        </is>
      </c>
      <c r="F13" s="17" t="inlineStr">
        <is>
          <t>2026-06-23</t>
        </is>
      </c>
      <c r="G13" s="17" t="inlineStr">
        <is>
          <t>10 NFRs, binary thresholds.</t>
        </is>
      </c>
    </row>
    <row r="14">
      <c r="A14" s="18" t="inlineStr">
        <is>
          <t>Phase B</t>
        </is>
      </c>
      <c r="B14" s="18" t="inlineStr">
        <is>
          <t>D12</t>
        </is>
      </c>
      <c r="C14" s="18" t="inlineStr">
        <is>
          <t>D12-SECURITY.md</t>
        </is>
      </c>
      <c r="D14" s="18" t="inlineStr">
        <is>
          <t>Done</t>
        </is>
      </c>
      <c r="E14" s="18" t="inlineStr">
        <is>
          <t>Builder</t>
        </is>
      </c>
      <c r="F14" s="18" t="inlineStr">
        <is>
          <t>2026-06-23</t>
        </is>
      </c>
      <c r="G14" s="18" t="inlineStr">
        <is>
          <t>10 threats, mitigations + backup note updated.</t>
        </is>
      </c>
    </row>
    <row r="15">
      <c r="A15" s="17" t="inlineStr">
        <is>
          <t>Phase C</t>
        </is>
      </c>
      <c r="B15" s="17" t="inlineStr">
        <is>
          <t>D6</t>
        </is>
      </c>
      <c r="C15" s="17" t="inlineStr">
        <is>
          <t>D6-DATA-MODEL.md</t>
        </is>
      </c>
      <c r="D15" s="17" t="inlineStr">
        <is>
          <t>Done</t>
        </is>
      </c>
      <c r="E15" s="17" t="inlineStr">
        <is>
          <t>Builder</t>
        </is>
      </c>
      <c r="F15" s="17" t="inlineStr">
        <is>
          <t>2026-06-23</t>
        </is>
      </c>
      <c r="G15" s="17" t="inlineStr">
        <is>
          <t>Postgres-native DDL (BIGSERIAL, TIMESTAMPTZ, functional indexes).</t>
        </is>
      </c>
    </row>
    <row r="16">
      <c r="A16" s="18" t="inlineStr">
        <is>
          <t>Phase C</t>
        </is>
      </c>
      <c r="B16" s="18" t="inlineStr">
        <is>
          <t>D7</t>
        </is>
      </c>
      <c r="C16" s="18" t="inlineStr">
        <is>
          <t>D7-API-CONTRACTS.md</t>
        </is>
      </c>
      <c r="D16" s="18" t="inlineStr">
        <is>
          <t>Done</t>
        </is>
      </c>
      <c r="E16" s="18" t="inlineStr">
        <is>
          <t>Builder</t>
        </is>
      </c>
      <c r="F16" s="18" t="inlineStr">
        <is>
          <t>2026-06-23</t>
        </is>
      </c>
      <c r="G16" s="18" t="inlineStr">
        <is>
          <t>OpenAPI 3.1, 5 endpoints, full schemas.</t>
        </is>
      </c>
    </row>
    <row r="17">
      <c r="A17" s="17" t="inlineStr">
        <is>
          <t>Phase C</t>
        </is>
      </c>
      <c r="B17" s="17" t="inlineStr">
        <is>
          <t>D15b</t>
        </is>
      </c>
      <c r="C17" s="17" t="inlineStr">
        <is>
          <t>D15b-USER-STORIES-v2.md</t>
        </is>
      </c>
      <c r="D17" s="17" t="inlineStr">
        <is>
          <t>Done</t>
        </is>
      </c>
      <c r="E17" s="17" t="inlineStr">
        <is>
          <t>Builder</t>
        </is>
      </c>
      <c r="F17" s="17" t="inlineStr">
        <is>
          <t>2026-06-23</t>
        </is>
      </c>
      <c r="G17" s="17" t="inlineStr">
        <is>
          <t>Build-precise ACs per US.</t>
        </is>
      </c>
    </row>
    <row r="18">
      <c r="A18" s="18" t="inlineStr">
        <is>
          <t>Phase C</t>
        </is>
      </c>
      <c r="B18" s="18" t="inlineStr">
        <is>
          <t>D17</t>
        </is>
      </c>
      <c r="C18" s="18" t="inlineStr">
        <is>
          <t>D17-TEST-CASES.md</t>
        </is>
      </c>
      <c r="D18" s="18" t="inlineStr">
        <is>
          <t>Done</t>
        </is>
      </c>
      <c r="E18" s="18" t="inlineStr">
        <is>
          <t>Builder</t>
        </is>
      </c>
      <c r="F18" s="18" t="inlineStr">
        <is>
          <t>2026-06-23</t>
        </is>
      </c>
      <c r="G18" s="18" t="inlineStr">
        <is>
          <t>TC-001..TC-085 mapped to ACs and packets.</t>
        </is>
      </c>
    </row>
    <row r="19">
      <c r="A19" s="17" t="inlineStr">
        <is>
          <t>Phase D</t>
        </is>
      </c>
      <c r="B19" s="17" t="inlineStr">
        <is>
          <t>D18</t>
        </is>
      </c>
      <c r="C19" s="17" t="inlineStr">
        <is>
          <t>D18-CLAUDE.md</t>
        </is>
      </c>
      <c r="D19" s="17" t="inlineStr">
        <is>
          <t>Done</t>
        </is>
      </c>
      <c r="E19" s="17" t="inlineStr">
        <is>
          <t>Builder</t>
        </is>
      </c>
      <c r="F19" s="17" t="inlineStr">
        <is>
          <t>2026-06-23</t>
        </is>
      </c>
      <c r="G19" s="17" t="inlineStr">
        <is>
          <t>Adds §0 Required Skills (FE skills mandatory for S-008..S-012).</t>
        </is>
      </c>
    </row>
    <row r="20">
      <c r="A20" s="18" t="inlineStr">
        <is>
          <t>Phase D</t>
        </is>
      </c>
      <c r="B20" s="18" t="inlineStr">
        <is>
          <t>D8</t>
        </is>
      </c>
      <c r="C20" s="18" t="inlineStr">
        <is>
          <t>D8-BACKLOG.md</t>
        </is>
      </c>
      <c r="D20" s="18" t="inlineStr">
        <is>
          <t>Done</t>
        </is>
      </c>
      <c r="E20" s="18" t="inlineStr">
        <is>
          <t>Builder</t>
        </is>
      </c>
      <c r="F20" s="18" t="inlineStr">
        <is>
          <t>2026-06-23</t>
        </is>
      </c>
      <c r="G20" s="18" t="inlineStr">
        <is>
          <t>13 stories → 13 packets.</t>
        </is>
      </c>
    </row>
    <row r="21">
      <c r="A21" s="17" t="inlineStr">
        <is>
          <t>Phase D</t>
        </is>
      </c>
      <c r="B21" s="17" t="inlineStr">
        <is>
          <t>D4</t>
        </is>
      </c>
      <c r="C21" s="17" t="inlineStr">
        <is>
          <t>D4-ENFORCEMENT.md</t>
        </is>
      </c>
      <c r="D21" s="17" t="inlineStr">
        <is>
          <t>Done</t>
        </is>
      </c>
      <c r="E21" s="17" t="inlineStr">
        <is>
          <t>Builder</t>
        </is>
      </c>
      <c r="F21" s="17" t="inlineStr">
        <is>
          <t>2026-06-23</t>
        </is>
      </c>
      <c r="G21" s="17" t="inlineStr">
        <is>
          <t>Hooks + skills wired; CI Postgres service added.</t>
        </is>
      </c>
    </row>
    <row r="22">
      <c r="A22" s="18" t="inlineStr">
        <is>
          <t>Phase D</t>
        </is>
      </c>
      <c r="B22" s="18" t="inlineStr">
        <is>
          <t>D9</t>
        </is>
      </c>
      <c r="C22" s="18" t="inlineStr">
        <is>
          <t>D9-DESIGN-SPEC.md</t>
        </is>
      </c>
      <c r="D22" s="18" t="inlineStr">
        <is>
          <t>Done</t>
        </is>
      </c>
      <c r="E22" s="18" t="inlineStr">
        <is>
          <t>Builder</t>
        </is>
      </c>
      <c r="F22" s="18" t="inlineStr">
        <is>
          <t>2026-06-23</t>
        </is>
      </c>
      <c r="G22" s="18" t="inlineStr">
        <is>
          <t>Includes skill preamble + per-page invocation checklist.</t>
        </is>
      </c>
    </row>
    <row r="23">
      <c r="A23" s="17" t="inlineStr">
        <is>
          <t>Phase E</t>
        </is>
      </c>
      <c r="B23" s="17" t="inlineStr">
        <is>
          <t>D13</t>
        </is>
      </c>
      <c r="C23" s="17" t="inlineStr">
        <is>
          <t>D13-INFRA.md</t>
        </is>
      </c>
      <c r="D23" s="17" t="inlineStr">
        <is>
          <t>Done</t>
        </is>
      </c>
      <c r="E23" s="17" t="inlineStr">
        <is>
          <t>Builder</t>
        </is>
      </c>
      <c r="F23" s="17" t="inlineStr">
        <is>
          <t>2026-06-23</t>
        </is>
      </c>
      <c r="G23" s="17" t="inlineStr">
        <is>
          <t>Postgres in all envs; CI services block.</t>
        </is>
      </c>
    </row>
    <row r="24">
      <c r="A24" s="18" t="inlineStr">
        <is>
          <t>Phase E</t>
        </is>
      </c>
      <c r="B24" s="18" t="inlineStr">
        <is>
          <t>D14</t>
        </is>
      </c>
      <c r="C24" s="18" t="inlineStr">
        <is>
          <t>D14-MIGRATION.md</t>
        </is>
      </c>
      <c r="D24" s="18" t="inlineStr">
        <is>
          <t>Done</t>
        </is>
      </c>
      <c r="E24" s="18" t="inlineStr">
        <is>
          <t>Builder</t>
        </is>
      </c>
      <c r="F24" s="18" t="inlineStr">
        <is>
          <t>2026-06-23</t>
        </is>
      </c>
      <c r="G24" s="18" t="inlineStr">
        <is>
          <t>Reframed as Postgres Alembic schema-evolution runbook.</t>
        </is>
      </c>
    </row>
    <row r="25">
      <c r="A25" s="17" t="inlineStr">
        <is>
          <t>Phase E</t>
        </is>
      </c>
      <c r="B25" s="17" t="inlineStr">
        <is>
          <t>D11</t>
        </is>
      </c>
      <c r="C25" s="17" t="inlineStr">
        <is>
          <t>D11-TESTING.md</t>
        </is>
      </c>
      <c r="D25" s="17" t="inlineStr">
        <is>
          <t>Done</t>
        </is>
      </c>
      <c r="E25" s="17" t="inlineStr">
        <is>
          <t>Builder</t>
        </is>
      </c>
      <c r="F25" s="17" t="inlineStr">
        <is>
          <t>2026-06-23</t>
        </is>
      </c>
      <c r="G25" s="17" t="inlineStr">
        <is>
          <t>Postgres-backed transaction-per-test fixture (no SQLite).</t>
        </is>
      </c>
    </row>
    <row r="26">
      <c r="A26" s="18" t="inlineStr">
        <is>
          <t>Phase E</t>
        </is>
      </c>
      <c r="B26" s="18" t="inlineStr">
        <is>
          <t>D16</t>
        </is>
      </c>
      <c r="C26" s="18" t="inlineStr">
        <is>
          <t>D16-FAULT-TOLERANCE.md</t>
        </is>
      </c>
      <c r="D26" s="18" t="inlineStr">
        <is>
          <t>Done</t>
        </is>
      </c>
      <c r="E26" s="18" t="inlineStr">
        <is>
          <t>Builder</t>
        </is>
      </c>
      <c r="F26" s="18" t="inlineStr">
        <is>
          <t>2026-06-23</t>
        </is>
      </c>
      <c r="G26" s="18" t="inlineStr">
        <is>
          <t>Postgres failure modes; SQLite entries removed.</t>
        </is>
      </c>
    </row>
    <row r="27">
      <c r="A27" s="17" t="inlineStr">
        <is>
          <t>Phase F</t>
        </is>
      </c>
      <c r="B27" s="17" t="inlineStr">
        <is>
          <t>F4</t>
        </is>
      </c>
      <c r="C27" s="17" t="inlineStr">
        <is>
          <t>F4-OPERATING-MANUAL.md</t>
        </is>
      </c>
      <c r="D27" s="17" t="inlineStr">
        <is>
          <t>Done</t>
        </is>
      </c>
      <c r="E27" s="17" t="inlineStr">
        <is>
          <t>Builder</t>
        </is>
      </c>
      <c r="F27" s="17" t="inlineStr">
        <is>
          <t>2026-06-23</t>
        </is>
      </c>
      <c r="G27" s="17" t="inlineStr">
        <is>
          <t>Build vs. QA session modes.</t>
        </is>
      </c>
    </row>
    <row r="28">
      <c r="A28" s="18" t="inlineStr">
        <is>
          <t>Phase F</t>
        </is>
      </c>
      <c r="B28" s="18" t="inlineStr">
        <is>
          <t>F3</t>
        </is>
      </c>
      <c r="C28" s="18" t="inlineStr">
        <is>
          <t>F3-HANDOVER.md</t>
        </is>
      </c>
      <c r="D28" s="18" t="inlineStr">
        <is>
          <t>Done</t>
        </is>
      </c>
      <c r="E28" s="18" t="inlineStr">
        <is>
          <t>Builder</t>
        </is>
      </c>
      <c r="F28" s="18" t="inlineStr">
        <is>
          <t>2026-06-23</t>
        </is>
      </c>
      <c r="G28" s="18" t="inlineStr">
        <is>
          <t>Per-session handover template.</t>
        </is>
      </c>
    </row>
    <row r="29">
      <c r="A29" s="17" t="inlineStr">
        <is>
          <t>Phase F</t>
        </is>
      </c>
      <c r="B29" s="17" t="inlineStr">
        <is>
          <t>F1</t>
        </is>
      </c>
      <c r="C29" s="17" t="inlineStr">
        <is>
          <t>F1-LAUNCH.md</t>
        </is>
      </c>
      <c r="D29" s="17" t="inlineStr">
        <is>
          <t>Done</t>
        </is>
      </c>
      <c r="E29" s="17" t="inlineStr">
        <is>
          <t>Builder</t>
        </is>
      </c>
      <c r="F29" s="17" t="inlineStr">
        <is>
          <t>2026-06-23</t>
        </is>
      </c>
      <c r="G29" s="17" t="inlineStr">
        <is>
          <t>Launch prompt now mandates frontend-design + ui-ux-pro-max.</t>
        </is>
      </c>
    </row>
    <row r="30">
      <c r="A30" s="18" t="inlineStr">
        <is>
          <t>Phase F</t>
        </is>
      </c>
      <c r="B30" s="18" t="inlineStr">
        <is>
          <t>F2</t>
        </is>
      </c>
      <c r="C30" s="18" t="inlineStr">
        <is>
          <t>F2-HANDOFF.md</t>
        </is>
      </c>
      <c r="D30" s="18" t="inlineStr">
        <is>
          <t>Done</t>
        </is>
      </c>
      <c r="E30" s="18" t="inlineStr">
        <is>
          <t>Builder</t>
        </is>
      </c>
      <c r="F30" s="18" t="inlineStr">
        <is>
          <t>2026-06-23</t>
        </is>
      </c>
      <c r="G30" s="18" t="inlineStr">
        <is>
          <t>QA-session boot prompt.</t>
        </is>
      </c>
    </row>
  </sheetData>
  <mergeCells count="2">
    <mergeCell ref="A2:G2"/>
    <mergeCell ref="A1:G1"/>
  </mergeCells>
  <conditionalFormatting sqref="D5:D3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D5:D30" showDropDown="0" showInputMessage="0" showErrorMessage="0" allowBlank="0" errorTitle="Invalid status" error="Pick one of: Not started, In progress, Done, Blocked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4" customWidth="1" min="4" max="4"/>
    <col width="11" customWidth="1" min="5" max="5"/>
    <col width="11" customWidth="1" min="6" max="6"/>
    <col width="14" customWidth="1" min="7" max="7"/>
    <col width="12" customWidth="1" min="8" max="8"/>
    <col width="14" customWidth="1" min="9" max="9"/>
    <col width="13" customWidth="1" min="10" max="10"/>
    <col width="32" customWidth="1" min="11" max="11"/>
    <col width="11" customWidth="1" min="12" max="12"/>
    <col width="55" customWidth="1" min="13" max="13"/>
  </cols>
  <sheetData>
    <row r="1" ht="32" customHeight="1">
      <c r="A1" s="1" t="inlineStr">
        <is>
          <t>Stage 2-3 · Packets (5-file cycle)</t>
        </is>
      </c>
    </row>
    <row r="2" ht="18" customHeight="1">
      <c r="A2" s="2" t="inlineStr">
        <is>
          <t>BRD · DESIGN · BUILD prompt authored up front. Execution → ENG-QA prompt → Evidence close the gate.</t>
        </is>
      </c>
    </row>
    <row r="4" ht="28" customHeight="1">
      <c r="A4" s="4" t="inlineStr">
        <is>
          <t>Packet</t>
        </is>
      </c>
      <c r="B4" s="4" t="inlineStr">
        <is>
          <t>Module</t>
        </is>
      </c>
      <c r="C4" s="4" t="inlineStr">
        <is>
          <t>Title</t>
        </is>
      </c>
      <c r="D4" s="4" t="inlineStr">
        <is>
          <t>Depends on</t>
        </is>
      </c>
      <c r="E4" s="4" t="inlineStr">
        <is>
          <t>BRD</t>
        </is>
      </c>
      <c r="F4" s="4" t="inlineStr">
        <is>
          <t>DESIGN</t>
        </is>
      </c>
      <c r="G4" s="4" t="inlineStr">
        <is>
          <t>BUILD prompt</t>
        </is>
      </c>
      <c r="H4" s="4" t="inlineStr">
        <is>
          <t>Execution</t>
        </is>
      </c>
      <c r="I4" s="4" t="inlineStr">
        <is>
          <t>ENG-QA prompt</t>
        </is>
      </c>
      <c r="J4" s="4" t="inlineStr">
        <is>
          <t>Evidence</t>
        </is>
      </c>
      <c r="K4" s="4" t="inlineStr">
        <is>
          <t>Branch</t>
        </is>
      </c>
      <c r="L4" s="4" t="inlineStr">
        <is>
          <t>Owner</t>
        </is>
      </c>
      <c r="M4" s="4" t="inlineStr">
        <is>
          <t>Notes</t>
        </is>
      </c>
    </row>
    <row r="5">
      <c r="A5" s="17" t="inlineStr">
        <is>
          <t>S-001</t>
        </is>
      </c>
      <c r="B5" s="17" t="inlineStr">
        <is>
          <t>database</t>
        </is>
      </c>
      <c r="C5" s="17" t="inlineStr">
        <is>
          <t>Postgres + ORM + Alembic baseline</t>
        </is>
      </c>
      <c r="D5" s="17" t="inlineStr">
        <is>
          <t>—</t>
        </is>
      </c>
      <c r="E5" s="17" t="inlineStr">
        <is>
          <t>Done</t>
        </is>
      </c>
      <c r="F5" s="17" t="inlineStr">
        <is>
          <t>Done</t>
        </is>
      </c>
      <c r="G5" s="17" t="inlineStr">
        <is>
          <t>Done</t>
        </is>
      </c>
      <c r="H5" s="17" t="inlineStr">
        <is>
          <t>Done</t>
        </is>
      </c>
      <c r="I5" s="17" t="inlineStr">
        <is>
          <t>Done</t>
        </is>
      </c>
      <c r="J5" s="17" t="inlineStr">
        <is>
          <t>Done</t>
        </is>
      </c>
      <c r="K5" s="17" t="inlineStr">
        <is>
          <t>packet/S-001-postgres-orm-alembic</t>
        </is>
      </c>
      <c r="L5" s="17" t="inlineStr">
        <is>
          <t>Builder</t>
        </is>
      </c>
      <c r="M5" s="17" t="inlineStr">
        <is>
          <t>GREEN. All 7 ACs proven. Native Postgres 17 substitution recorded in Evidence.</t>
        </is>
      </c>
    </row>
    <row r="6">
      <c r="A6" s="18" t="inlineStr">
        <is>
          <t>S-002</t>
        </is>
      </c>
      <c r="B6" s="18" t="inlineStr">
        <is>
          <t>backend</t>
        </is>
      </c>
      <c r="C6" s="18" t="inlineStr">
        <is>
          <t>FastAPI skeleton + DB session + CORS</t>
        </is>
      </c>
      <c r="D6" s="18" t="inlineStr">
        <is>
          <t>S-001</t>
        </is>
      </c>
      <c r="E6" s="18" t="inlineStr">
        <is>
          <t>Done</t>
        </is>
      </c>
      <c r="F6" s="18" t="inlineStr">
        <is>
          <t>Done</t>
        </is>
      </c>
      <c r="G6" s="18" t="inlineStr">
        <is>
          <t>Done</t>
        </is>
      </c>
      <c r="H6" s="18" t="inlineStr">
        <is>
          <t>Done</t>
        </is>
      </c>
      <c r="I6" s="18" t="inlineStr">
        <is>
          <t>Done</t>
        </is>
      </c>
      <c r="J6" s="18" t="inlineStr">
        <is>
          <t>Done</t>
        </is>
      </c>
      <c r="K6" s="18" t="inlineStr">
        <is>
          <t>packet/S-002-fastapi-skeleton</t>
        </is>
      </c>
      <c r="L6" s="18" t="inlineStr">
        <is>
          <t>Builder</t>
        </is>
      </c>
      <c r="M6" s="18" t="inlineStr">
        <is>
          <t>GREEN. /healthz live + DB ping; CORS allow/deny verified.</t>
        </is>
      </c>
    </row>
    <row r="7">
      <c r="A7" s="17" t="inlineStr">
        <is>
          <t>S-003</t>
        </is>
      </c>
      <c r="B7" s="17" t="inlineStr">
        <is>
          <t>backend</t>
        </is>
      </c>
      <c r="C7" s="17" t="inlineStr">
        <is>
          <t>POST /books</t>
        </is>
      </c>
      <c r="D7" s="17" t="inlineStr">
        <is>
          <t>S-002</t>
        </is>
      </c>
      <c r="E7" s="17" t="inlineStr">
        <is>
          <t>Done</t>
        </is>
      </c>
      <c r="F7" s="17" t="inlineStr">
        <is>
          <t>Done</t>
        </is>
      </c>
      <c r="G7" s="17" t="inlineStr">
        <is>
          <t>Done</t>
        </is>
      </c>
      <c r="H7" s="17" t="inlineStr">
        <is>
          <t>Done</t>
        </is>
      </c>
      <c r="I7" s="17" t="inlineStr">
        <is>
          <t>Done</t>
        </is>
      </c>
      <c r="J7" s="17" t="inlineStr">
        <is>
          <t>Done</t>
        </is>
      </c>
      <c r="K7" s="17" t="inlineStr">
        <is>
          <t>packet/S-003-post-books</t>
        </is>
      </c>
      <c r="L7" s="17" t="inlineStr">
        <is>
          <t>Builder</t>
        </is>
      </c>
      <c r="M7" s="17" t="inlineStr">
        <is>
          <t>GREEN. Status canonicalization works ('read' -&gt; 'Read').</t>
        </is>
      </c>
    </row>
    <row r="8">
      <c r="A8" s="18" t="inlineStr">
        <is>
          <t>S-004</t>
        </is>
      </c>
      <c r="B8" s="18" t="inlineStr">
        <is>
          <t>backend</t>
        </is>
      </c>
      <c r="C8" s="18" t="inlineStr">
        <is>
          <t>GET /books, GET /books/{id}</t>
        </is>
      </c>
      <c r="D8" s="18" t="inlineStr">
        <is>
          <t>S-003</t>
        </is>
      </c>
      <c r="E8" s="18" t="inlineStr">
        <is>
          <t>Done</t>
        </is>
      </c>
      <c r="F8" s="18" t="inlineStr">
        <is>
          <t>Done</t>
        </is>
      </c>
      <c r="G8" s="18" t="inlineStr">
        <is>
          <t>Done</t>
        </is>
      </c>
      <c r="H8" s="18" t="inlineStr">
        <is>
          <t>Done</t>
        </is>
      </c>
      <c r="I8" s="18" t="inlineStr">
        <is>
          <t>Done</t>
        </is>
      </c>
      <c r="J8" s="18" t="inlineStr">
        <is>
          <t>Done</t>
        </is>
      </c>
      <c r="K8" s="18" t="inlineStr">
        <is>
          <t>packet/S-004-get-books</t>
        </is>
      </c>
      <c r="L8" s="18" t="inlineStr">
        <is>
          <t>Builder</t>
        </is>
      </c>
      <c r="M8" s="18" t="inlineStr">
        <is>
          <t>GREEN. HARD_LIMIT=1000 (T-05); 6 tests + EXPLAIN ANALYZE on functional index.</t>
        </is>
      </c>
    </row>
    <row r="9">
      <c r="A9" s="17" t="inlineStr">
        <is>
          <t>S-005</t>
        </is>
      </c>
      <c r="B9" s="17" t="inlineStr">
        <is>
          <t>backend</t>
        </is>
      </c>
      <c r="C9" s="17" t="inlineStr">
        <is>
          <t>PUT /books/{id}</t>
        </is>
      </c>
      <c r="D9" s="17" t="inlineStr">
        <is>
          <t>S-004</t>
        </is>
      </c>
      <c r="E9" s="17" t="inlineStr">
        <is>
          <t>Done</t>
        </is>
      </c>
      <c r="F9" s="17" t="inlineStr">
        <is>
          <t>Done</t>
        </is>
      </c>
      <c r="G9" s="17" t="inlineStr">
        <is>
          <t>Done</t>
        </is>
      </c>
      <c r="H9" s="17" t="inlineStr">
        <is>
          <t>Done</t>
        </is>
      </c>
      <c r="I9" s="17" t="inlineStr">
        <is>
          <t>Done</t>
        </is>
      </c>
      <c r="J9" s="17" t="inlineStr">
        <is>
          <t>Done</t>
        </is>
      </c>
      <c r="K9" s="17" t="inlineStr">
        <is>
          <t>packet/S-005-put-books</t>
        </is>
      </c>
      <c r="L9" s="17" t="inlineStr">
        <is>
          <t>Builder</t>
        </is>
      </c>
      <c r="M9" s="17" t="inlineStr">
        <is>
          <t>GREEN. PUT preserves created_at by design (BookUpdate omits the field).</t>
        </is>
      </c>
    </row>
    <row r="10">
      <c r="A10" s="18" t="inlineStr">
        <is>
          <t>S-006</t>
        </is>
      </c>
      <c r="B10" s="18" t="inlineStr">
        <is>
          <t>backend</t>
        </is>
      </c>
      <c r="C10" s="18" t="inlineStr">
        <is>
          <t>DELETE /books/{id}</t>
        </is>
      </c>
      <c r="D10" s="18" t="inlineStr">
        <is>
          <t>S-005</t>
        </is>
      </c>
      <c r="E10" s="18" t="inlineStr">
        <is>
          <t>Done</t>
        </is>
      </c>
      <c r="F10" s="18" t="inlineStr">
        <is>
          <t>Done</t>
        </is>
      </c>
      <c r="G10" s="18" t="inlineStr">
        <is>
          <t>Done</t>
        </is>
      </c>
      <c r="H10" s="18" t="inlineStr">
        <is>
          <t>Done</t>
        </is>
      </c>
      <c r="I10" s="18" t="inlineStr">
        <is>
          <t>Done</t>
        </is>
      </c>
      <c r="J10" s="18" t="inlineStr">
        <is>
          <t>Done</t>
        </is>
      </c>
      <c r="K10" s="18" t="inlineStr">
        <is>
          <t>packet/S-006-delete-books</t>
        </is>
      </c>
      <c r="L10" s="18" t="inlineStr">
        <is>
          <t>Builder</t>
        </is>
      </c>
      <c r="M10" s="18" t="inlineStr">
        <is>
          <t>GREEN. 204 + empty body; psql confirms row gone.</t>
        </is>
      </c>
    </row>
    <row r="11">
      <c r="A11" s="17" t="inlineStr">
        <is>
          <t>S-007</t>
        </is>
      </c>
      <c r="B11" s="17" t="inlineStr">
        <is>
          <t>backend</t>
        </is>
      </c>
      <c r="C11" s="17" t="inlineStr">
        <is>
          <t>Search + filter query params</t>
        </is>
      </c>
      <c r="D11" s="17" t="inlineStr">
        <is>
          <t>S-006</t>
        </is>
      </c>
      <c r="E11" s="17" t="inlineStr">
        <is>
          <t>Done</t>
        </is>
      </c>
      <c r="F11" s="17" t="inlineStr">
        <is>
          <t>Done</t>
        </is>
      </c>
      <c r="G11" s="17" t="inlineStr">
        <is>
          <t>Done</t>
        </is>
      </c>
      <c r="H11" s="17" t="inlineStr">
        <is>
          <t>Done</t>
        </is>
      </c>
      <c r="I11" s="17" t="inlineStr">
        <is>
          <t>Done</t>
        </is>
      </c>
      <c r="J11" s="17" t="inlineStr">
        <is>
          <t>Done</t>
        </is>
      </c>
      <c r="K11" s="17" t="inlineStr">
        <is>
          <t>packet/S-007-search-filter</t>
        </is>
      </c>
      <c r="L11" s="17" t="inlineStr">
        <is>
          <t>Builder</t>
        </is>
      </c>
      <c r="M11" s="17" t="inlineStr">
        <is>
          <t>GREEN. Median latency 17.9 ms with 1000 rows (NFR Q-005 &lt; 50 ms).</t>
        </is>
      </c>
    </row>
    <row r="12">
      <c r="A12" s="18" t="inlineStr">
        <is>
          <t>S-008</t>
        </is>
      </c>
      <c r="B12" s="18" t="inlineStr">
        <is>
          <t>frontend</t>
        </is>
      </c>
      <c r="C12" s="18" t="inlineStr">
        <is>
          <t>Home page + frontend scaffolding</t>
        </is>
      </c>
      <c r="D12" s="18" t="inlineStr">
        <is>
          <t>S-007</t>
        </is>
      </c>
      <c r="E12" s="18" t="inlineStr">
        <is>
          <t>Done</t>
        </is>
      </c>
      <c r="F12" s="18" t="inlineStr">
        <is>
          <t>Done</t>
        </is>
      </c>
      <c r="G12" s="18" t="inlineStr">
        <is>
          <t>Done</t>
        </is>
      </c>
      <c r="H12" s="18" t="inlineStr">
        <is>
          <t>Done</t>
        </is>
      </c>
      <c r="I12" s="18" t="inlineStr">
        <is>
          <t>Done</t>
        </is>
      </c>
      <c r="J12" s="18" t="inlineStr">
        <is>
          <t>Done</t>
        </is>
      </c>
      <c r="K12" s="18" t="inlineStr">
        <is>
          <t>packet/S-008-home-page</t>
        </is>
      </c>
      <c r="L12" s="18" t="inlineStr">
        <is>
          <t>Builder</t>
        </is>
      </c>
      <c r="M12" s="18" t="inlineStr">
        <is>
          <t>GREEN. frontend-design + ui-ux-pro-max committed tokens.js; spine-shelf hero.</t>
        </is>
      </c>
    </row>
    <row r="13">
      <c r="A13" s="17" t="inlineStr">
        <is>
          <t>S-009</t>
        </is>
      </c>
      <c r="B13" s="17" t="inlineStr">
        <is>
          <t>frontend</t>
        </is>
      </c>
      <c r="C13" s="17" t="inlineStr">
        <is>
          <t>Books page (list + delete)</t>
        </is>
      </c>
      <c r="D13" s="17" t="inlineStr">
        <is>
          <t>S-006,S-008</t>
        </is>
      </c>
      <c r="E13" s="17" t="inlineStr">
        <is>
          <t>Done</t>
        </is>
      </c>
      <c r="F13" s="17" t="inlineStr">
        <is>
          <t>Done</t>
        </is>
      </c>
      <c r="G13" s="17" t="inlineStr">
        <is>
          <t>Done</t>
        </is>
      </c>
      <c r="H13" s="17" t="inlineStr">
        <is>
          <t>Done</t>
        </is>
      </c>
      <c r="I13" s="17" t="inlineStr">
        <is>
          <t>Done</t>
        </is>
      </c>
      <c r="J13" s="17" t="inlineStr">
        <is>
          <t>Done</t>
        </is>
      </c>
      <c r="K13" s="17" t="inlineStr">
        <is>
          <t>packet/S-009-books-page</t>
        </is>
      </c>
      <c r="L13" s="17" t="inlineStr">
        <is>
          <t>Builder</t>
        </is>
      </c>
      <c r="M13" s="17" t="inlineStr">
        <is>
          <t>GREEN. BookCard mirrors home shelf color; ConfirmModal focus-trapped.</t>
        </is>
      </c>
    </row>
    <row r="14">
      <c r="A14" s="18" t="inlineStr">
        <is>
          <t>S-010</t>
        </is>
      </c>
      <c r="B14" s="18" t="inlineStr">
        <is>
          <t>frontend</t>
        </is>
      </c>
      <c r="C14" s="18" t="inlineStr">
        <is>
          <t>AddBook page + shared BookForm</t>
        </is>
      </c>
      <c r="D14" s="18" t="inlineStr">
        <is>
          <t>S-003,S-009</t>
        </is>
      </c>
      <c r="E14" s="18" t="inlineStr">
        <is>
          <t>Done</t>
        </is>
      </c>
      <c r="F14" s="18" t="inlineStr">
        <is>
          <t>Done</t>
        </is>
      </c>
      <c r="G14" s="18" t="inlineStr">
        <is>
          <t>Done</t>
        </is>
      </c>
      <c r="H14" s="18" t="inlineStr">
        <is>
          <t>Done</t>
        </is>
      </c>
      <c r="I14" s="18" t="inlineStr">
        <is>
          <t>Done</t>
        </is>
      </c>
      <c r="J14" s="18" t="inlineStr">
        <is>
          <t>Done</t>
        </is>
      </c>
      <c r="K14" s="18" t="inlineStr">
        <is>
          <t>packet/S-010-add-book-page</t>
        </is>
      </c>
      <c r="L14" s="18" t="inlineStr">
        <is>
          <t>Builder</t>
        </is>
      </c>
      <c r="M14" s="18" t="inlineStr">
        <is>
          <t>GREEN. Shared BookForm contract finalized. Two bugs found+fixed mid-cycle.</t>
        </is>
      </c>
    </row>
    <row r="15">
      <c r="A15" s="17" t="inlineStr">
        <is>
          <t>S-011</t>
        </is>
      </c>
      <c r="B15" s="17" t="inlineStr">
        <is>
          <t>frontend</t>
        </is>
      </c>
      <c r="C15" s="17" t="inlineStr">
        <is>
          <t>EditBook page</t>
        </is>
      </c>
      <c r="D15" s="17" t="inlineStr">
        <is>
          <t>S-005,S-010</t>
        </is>
      </c>
      <c r="E15" s="17" t="inlineStr">
        <is>
          <t>Done</t>
        </is>
      </c>
      <c r="F15" s="17" t="inlineStr">
        <is>
          <t>Done</t>
        </is>
      </c>
      <c r="G15" s="17" t="inlineStr">
        <is>
          <t>Done</t>
        </is>
      </c>
      <c r="H15" s="17" t="inlineStr">
        <is>
          <t>Done</t>
        </is>
      </c>
      <c r="I15" s="17" t="inlineStr">
        <is>
          <t>Done</t>
        </is>
      </c>
      <c r="J15" s="17" t="inlineStr">
        <is>
          <t>Done</t>
        </is>
      </c>
      <c r="K15" s="17" t="inlineStr">
        <is>
          <t>packet/S-011-edit-book-page</t>
        </is>
      </c>
      <c r="L15" s="17" t="inlineStr">
        <is>
          <t>Builder</t>
        </is>
      </c>
      <c r="M15" s="17" t="inlineStr">
        <is>
          <t>GREEN. FormSkeleton matches BookForm rhythm; BookForm untouched (SHA verified). 5 EditBook tests pass; 23 total. Build 79.28 KB gzip.</t>
        </is>
      </c>
    </row>
    <row r="16">
      <c r="A16" s="18" t="inlineStr">
        <is>
          <t>S-012</t>
        </is>
      </c>
      <c r="B16" s="18" t="inlineStr">
        <is>
          <t>frontend</t>
        </is>
      </c>
      <c r="C16" s="18" t="inlineStr">
        <is>
          <t>Search + Filter UI</t>
        </is>
      </c>
      <c r="D16" s="18" t="inlineStr">
        <is>
          <t>S-007,S-009</t>
        </is>
      </c>
      <c r="E16" s="18" t="inlineStr">
        <is>
          <t>Done</t>
        </is>
      </c>
      <c r="F16" s="18" t="inlineStr">
        <is>
          <t>Done</t>
        </is>
      </c>
      <c r="G16" s="18" t="inlineStr">
        <is>
          <t>Done</t>
        </is>
      </c>
      <c r="H16" s="18" t="inlineStr">
        <is>
          <t>Done</t>
        </is>
      </c>
      <c r="I16" s="18" t="inlineStr">
        <is>
          <t>Done</t>
        </is>
      </c>
      <c r="J16" s="18" t="inlineStr">
        <is>
          <t>Done</t>
        </is>
      </c>
      <c r="K16" s="18" t="inlineStr">
        <is>
          <t>packet/S-012-search-filter-ui</t>
        </is>
      </c>
      <c r="L16" s="18" t="inlineStr">
        <is>
          <t>Builder</t>
        </is>
      </c>
      <c r="M16" s="18" t="inlineStr">
        <is>
          <t>GREEN. 12 new Vitest tests (3 SearchBar + 3 FilterDropdown + 6 Books.filters); 35 total. ESLint clean. Build 80.74 KB gzip. URL is single source of truth for search/author/genre/status.</t>
        </is>
      </c>
    </row>
    <row r="17">
      <c r="A17" s="17" t="inlineStr">
        <is>
          <t>S-013</t>
        </is>
      </c>
      <c r="B17" s="17" t="inlineStr">
        <is>
          <t>infra</t>
        </is>
      </c>
      <c r="C17" s="17" t="inlineStr">
        <is>
          <t>README + deploy + final gate</t>
        </is>
      </c>
      <c r="D17" s="17" t="inlineStr">
        <is>
          <t>all</t>
        </is>
      </c>
      <c r="E17" s="17" t="inlineStr">
        <is>
          <t>Done</t>
        </is>
      </c>
      <c r="F17" s="17" t="inlineStr">
        <is>
          <t>Done</t>
        </is>
      </c>
      <c r="G17" s="17" t="inlineStr">
        <is>
          <t>Done</t>
        </is>
      </c>
      <c r="H17" s="17" t="inlineStr">
        <is>
          <t>Done</t>
        </is>
      </c>
      <c r="I17" s="17" t="inlineStr">
        <is>
          <t>Done</t>
        </is>
      </c>
      <c r="J17" s="17" t="inlineStr">
        <is>
          <t>Done</t>
        </is>
      </c>
      <c r="K17" s="17" t="inlineStr">
        <is>
          <t>packet/S-013-readme-deploy</t>
        </is>
      </c>
      <c r="L17" s="17" t="inlineStr">
        <is>
          <t>Builder</t>
        </is>
      </c>
      <c r="M17" s="17" t="inlineStr">
        <is>
          <t>GREEN with deferrals. README + CI workflow + git init + initial commit (3dcb799). AC3 (live CI) and AC5 (clean-clone smoke on second machine) explicitly deferred per user direction; OQ-001 stays Open (deferred). All 6 ACs structurally met; see Evidence.md §Deferrals.</t>
        </is>
      </c>
    </row>
  </sheetData>
  <mergeCells count="2">
    <mergeCell ref="A2:M2"/>
    <mergeCell ref="A1:M1"/>
  </mergeCells>
  <conditionalFormatting sqref="E5:E1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F5:F17">
    <cfRule type="cellIs" priority="5" operator="equal" dxfId="0">
      <formula>"Done"</formula>
    </cfRule>
    <cfRule type="cellIs" priority="6" operator="equal" dxfId="1">
      <formula>"In progress"</formula>
    </cfRule>
    <cfRule type="cellIs" priority="7" operator="equal" dxfId="2">
      <formula>"Blocked"</formula>
    </cfRule>
    <cfRule type="cellIs" priority="8" operator="equal" dxfId="3">
      <formula>"Not started"</formula>
    </cfRule>
  </conditionalFormatting>
  <conditionalFormatting sqref="G5:G17">
    <cfRule type="cellIs" priority="9" operator="equal" dxfId="0">
      <formula>"Done"</formula>
    </cfRule>
    <cfRule type="cellIs" priority="10" operator="equal" dxfId="1">
      <formula>"In progress"</formula>
    </cfRule>
    <cfRule type="cellIs" priority="11" operator="equal" dxfId="2">
      <formula>"Blocked"</formula>
    </cfRule>
    <cfRule type="cellIs" priority="12" operator="equal" dxfId="3">
      <formula>"Not started"</formula>
    </cfRule>
  </conditionalFormatting>
  <conditionalFormatting sqref="H5:H17">
    <cfRule type="cellIs" priority="13" operator="equal" dxfId="0">
      <formula>"Done"</formula>
    </cfRule>
    <cfRule type="cellIs" priority="14" operator="equal" dxfId="1">
      <formula>"In progress"</formula>
    </cfRule>
    <cfRule type="cellIs" priority="15" operator="equal" dxfId="2">
      <formula>"Blocked"</formula>
    </cfRule>
    <cfRule type="cellIs" priority="16" operator="equal" dxfId="3">
      <formula>"Not started"</formula>
    </cfRule>
  </conditionalFormatting>
  <conditionalFormatting sqref="I5:I17">
    <cfRule type="cellIs" priority="17" operator="equal" dxfId="0">
      <formula>"Done"</formula>
    </cfRule>
    <cfRule type="cellIs" priority="18" operator="equal" dxfId="1">
      <formula>"In progress"</formula>
    </cfRule>
    <cfRule type="cellIs" priority="19" operator="equal" dxfId="2">
      <formula>"Blocked"</formula>
    </cfRule>
    <cfRule type="cellIs" priority="20" operator="equal" dxfId="3">
      <formula>"Not started"</formula>
    </cfRule>
  </conditionalFormatting>
  <conditionalFormatting sqref="J5:J17">
    <cfRule type="cellIs" priority="21" operator="equal" dxfId="0">
      <formula>"Done"</formula>
    </cfRule>
    <cfRule type="cellIs" priority="22" operator="equal" dxfId="1">
      <formula>"In progress"</formula>
    </cfRule>
    <cfRule type="cellIs" priority="23" operator="equal" dxfId="2">
      <formula>"Blocked"</formula>
    </cfRule>
    <cfRule type="cellIs" priority="24" operator="equal" dxfId="3">
      <formula>"Not started"</formula>
    </cfRule>
  </conditionalFormatting>
  <dataValidations count="6">
    <dataValidation sqref="E5:E17" showDropDown="0" showInputMessage="0" showErrorMessage="0" allowBlank="0" errorTitle="Invalid status" error="Pick one of: Not started, In progress, Done, Blocked" type="list">
      <formula1>"Not started,In progress,Done,Blocked"</formula1>
    </dataValidation>
    <dataValidation sqref="F5:F17" showDropDown="0" showInputMessage="0" showErrorMessage="0" allowBlank="0" errorTitle="Invalid status" error="Pick one of: Not started, In progress, Done, Blocked" type="list">
      <formula1>"Not started,In progress,Done,Blocked"</formula1>
    </dataValidation>
    <dataValidation sqref="G5:G17" showDropDown="0" showInputMessage="0" showErrorMessage="0" allowBlank="0" errorTitle="Invalid status" error="Pick one of: Not started, In progress, Done, Blocked" type="list">
      <formula1>"Not started,In progress,Done,Blocked"</formula1>
    </dataValidation>
    <dataValidation sqref="H5:H17" showDropDown="0" showInputMessage="0" showErrorMessage="0" allowBlank="0" errorTitle="Invalid status" error="Pick one of: Not started, In progress, Done, Blocked" type="list">
      <formula1>"Not started,In progress,Done,Blocked"</formula1>
    </dataValidation>
    <dataValidation sqref="I5:I17" showDropDown="0" showInputMessage="0" showErrorMessage="0" allowBlank="0" errorTitle="Invalid status" error="Pick one of: Not started, In progress, Done, Blocked" type="list">
      <formula1>"Not started,In progress,Done,Blocked"</formula1>
    </dataValidation>
    <dataValidation sqref="J5:J17" showDropDown="0" showInputMessage="0" showErrorMessage="0" allowBlank="0" errorTitle="Invalid status" error="Pick one of: Not started, In progress, Done, Blocked" type="list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18" customWidth="1" min="4" max="4"/>
    <col width="12" customWidth="1" min="5" max="5"/>
    <col width="40" customWidth="1" min="6" max="6"/>
  </cols>
  <sheetData>
    <row r="1" ht="32" customHeight="1">
      <c r="A1" s="1" t="inlineStr">
        <is>
          <t>Acceptance Criteria · per-packet binary checks</t>
        </is>
      </c>
    </row>
    <row r="2" ht="18" customHeight="1">
      <c r="A2" s="2" t="inlineStr">
        <is>
          <t>Each AC is binary (Pass / Fail). Verdicts populated by the QA session that authors Evidence.md.</t>
        </is>
      </c>
    </row>
    <row r="4" ht="28" customHeight="1">
      <c r="A4" s="4" t="inlineStr">
        <is>
          <t>Packet</t>
        </is>
      </c>
      <c r="B4" s="4" t="inlineStr">
        <is>
          <t>AC</t>
        </is>
      </c>
      <c r="C4" s="4" t="inlineStr">
        <is>
          <t>Description</t>
        </is>
      </c>
      <c r="D4" s="4" t="inlineStr">
        <is>
          <t>Source (TC / US)</t>
        </is>
      </c>
      <c r="E4" s="4" t="inlineStr">
        <is>
          <t>Verdict</t>
        </is>
      </c>
      <c r="F4" s="4" t="inlineStr">
        <is>
          <t>Notes</t>
        </is>
      </c>
    </row>
    <row r="5">
      <c r="A5" s="17" t="inlineStr">
        <is>
          <t>S-001</t>
        </is>
      </c>
      <c r="B5" s="17" t="inlineStr">
        <is>
          <t>AC1</t>
        </is>
      </c>
      <c r="C5" s="17" t="inlineStr">
        <is>
          <t>docker compose up db boots Postgres on :5432 with named volume.</t>
        </is>
      </c>
      <c r="D5" s="17" t="inlineStr">
        <is>
          <t>D6</t>
        </is>
      </c>
      <c r="E5" s="17" t="inlineStr">
        <is>
          <t>Pass</t>
        </is>
      </c>
      <c r="F5" s="17" t="inlineStr"/>
    </row>
    <row r="6">
      <c r="A6" s="18" t="inlineStr">
        <is>
          <t>S-001</t>
        </is>
      </c>
      <c r="B6" s="18" t="inlineStr">
        <is>
          <t>AC2</t>
        </is>
      </c>
      <c r="C6" s="18" t="inlineStr">
        <is>
          <t>db_test service or db_test database available for tests.</t>
        </is>
      </c>
      <c r="D6" s="18" t="inlineStr">
        <is>
          <t>D11 §2</t>
        </is>
      </c>
      <c r="E6" s="18" t="inlineStr">
        <is>
          <t>Pass</t>
        </is>
      </c>
      <c r="F6" s="18" t="inlineStr"/>
    </row>
    <row r="7">
      <c r="A7" s="17" t="inlineStr">
        <is>
          <t>S-001</t>
        </is>
      </c>
      <c r="B7" s="17" t="inlineStr">
        <is>
          <t>AC3</t>
        </is>
      </c>
      <c r="C7" s="17" t="inlineStr">
        <is>
          <t>backend/models.py Book matches D6 exactly (columns, types, CHECK, indexes).</t>
        </is>
      </c>
      <c r="D7" s="17" t="inlineStr">
        <is>
          <t>D6 §3</t>
        </is>
      </c>
      <c r="E7" s="17" t="inlineStr">
        <is>
          <t>Pass</t>
        </is>
      </c>
      <c r="F7" s="17" t="inlineStr"/>
    </row>
    <row r="8">
      <c r="A8" s="18" t="inlineStr">
        <is>
          <t>S-001</t>
        </is>
      </c>
      <c r="B8" s="18" t="inlineStr">
        <is>
          <t>AC4</t>
        </is>
      </c>
      <c r="C8" s="18" t="inlineStr">
        <is>
          <t>database.py exposes engine, SessionLocal, get_db.</t>
        </is>
      </c>
      <c r="D8" s="18" t="inlineStr">
        <is>
          <t>D5 §5</t>
        </is>
      </c>
      <c r="E8" s="18" t="inlineStr">
        <is>
          <t>Pass</t>
        </is>
      </c>
      <c r="F8" s="18" t="inlineStr"/>
    </row>
    <row r="9">
      <c r="A9" s="17" t="inlineStr">
        <is>
          <t>S-001</t>
        </is>
      </c>
      <c r="B9" s="17" t="inlineStr">
        <is>
          <t>AC5</t>
        </is>
      </c>
      <c r="C9" s="17" t="inlineStr">
        <is>
          <t>alembic upgrade head materializes the books table per D6 §2.</t>
        </is>
      </c>
      <c r="D9" s="17" t="inlineStr">
        <is>
          <t>D6</t>
        </is>
      </c>
      <c r="E9" s="17" t="inlineStr">
        <is>
          <t>Pass</t>
        </is>
      </c>
      <c r="F9" s="17" t="inlineStr"/>
    </row>
    <row r="10">
      <c r="A10" s="18" t="inlineStr">
        <is>
          <t>S-001</t>
        </is>
      </c>
      <c r="B10" s="18" t="inlineStr">
        <is>
          <t>AC6</t>
        </is>
      </c>
      <c r="C10" s="18" t="inlineStr">
        <is>
          <t>alembic downgrade base then upgrade head is idempotent.</t>
        </is>
      </c>
      <c r="D10" s="18" t="inlineStr">
        <is>
          <t>D14</t>
        </is>
      </c>
      <c r="E10" s="18" t="inlineStr">
        <is>
          <t>Pass</t>
        </is>
      </c>
      <c r="F10" s="18" t="inlineStr"/>
    </row>
    <row r="11">
      <c r="A11" s="17" t="inlineStr">
        <is>
          <t>S-001</t>
        </is>
      </c>
      <c r="B11" s="17" t="inlineStr">
        <is>
          <t>AC7</t>
        </is>
      </c>
      <c r="C11" s="17" t="inlineStr">
        <is>
          <t>All four indexes from D6 present after upgrade head.</t>
        </is>
      </c>
      <c r="D11" s="17" t="inlineStr">
        <is>
          <t>D6 §2</t>
        </is>
      </c>
      <c r="E11" s="17" t="inlineStr">
        <is>
          <t>Pass</t>
        </is>
      </c>
      <c r="F11" s="17" t="inlineStr"/>
    </row>
    <row r="12">
      <c r="A12" s="18" t="inlineStr">
        <is>
          <t>S-002</t>
        </is>
      </c>
      <c r="B12" s="18" t="inlineStr">
        <is>
          <t>AC1</t>
        </is>
      </c>
      <c r="C12" s="18" t="inlineStr">
        <is>
          <t>uvicorn boots against live Postgres.</t>
        </is>
      </c>
      <c r="D12" s="18" t="inlineStr">
        <is>
          <t>D5</t>
        </is>
      </c>
      <c r="E12" s="18" t="inlineStr">
        <is>
          <t>Pass</t>
        </is>
      </c>
      <c r="F12" s="18" t="inlineStr"/>
    </row>
    <row r="13">
      <c r="A13" s="17" t="inlineStr">
        <is>
          <t>S-002</t>
        </is>
      </c>
      <c r="B13" s="17" t="inlineStr">
        <is>
          <t>AC2</t>
        </is>
      </c>
      <c r="C13" s="17" t="inlineStr">
        <is>
          <t>GET /docs → 200.</t>
        </is>
      </c>
      <c r="D13" s="17" t="inlineStr">
        <is>
          <t>D7</t>
        </is>
      </c>
      <c r="E13" s="17" t="inlineStr">
        <is>
          <t>Pass</t>
        </is>
      </c>
      <c r="F13" s="17" t="inlineStr"/>
    </row>
    <row r="14">
      <c r="A14" s="18" t="inlineStr">
        <is>
          <t>S-002</t>
        </is>
      </c>
      <c r="B14" s="18" t="inlineStr">
        <is>
          <t>AC3</t>
        </is>
      </c>
      <c r="C14" s="18" t="inlineStr">
        <is>
          <t>GET /openapi.json → 200 + valid JSON.</t>
        </is>
      </c>
      <c r="D14" s="18" t="inlineStr">
        <is>
          <t>D7</t>
        </is>
      </c>
      <c r="E14" s="18" t="inlineStr">
        <is>
          <t>Pass</t>
        </is>
      </c>
      <c r="F14" s="18" t="inlineStr"/>
    </row>
    <row r="15">
      <c r="A15" s="17" t="inlineStr">
        <is>
          <t>S-002</t>
        </is>
      </c>
      <c r="B15" s="17" t="inlineStr">
        <is>
          <t>AC4</t>
        </is>
      </c>
      <c r="C15" s="17" t="inlineStr">
        <is>
          <t>GET /healthz returns {status:ok, db:ok}; db field reflects SELECT 1.</t>
        </is>
      </c>
      <c r="D15" s="17" t="inlineStr">
        <is>
          <t>D5</t>
        </is>
      </c>
      <c r="E15" s="17" t="inlineStr">
        <is>
          <t>Pass</t>
        </is>
      </c>
      <c r="F15" s="17" t="inlineStr"/>
    </row>
    <row r="16">
      <c r="A16" s="18" t="inlineStr">
        <is>
          <t>S-002</t>
        </is>
      </c>
      <c r="B16" s="18" t="inlineStr">
        <is>
          <t>AC5</t>
        </is>
      </c>
      <c r="C16" s="18" t="inlineStr">
        <is>
          <t>CORS allows :5173, denies foreign origin.</t>
        </is>
      </c>
      <c r="D16" s="18" t="inlineStr">
        <is>
          <t>D12 §T-07</t>
        </is>
      </c>
      <c r="E16" s="18" t="inlineStr">
        <is>
          <t>Pass</t>
        </is>
      </c>
      <c r="F16" s="18" t="inlineStr"/>
    </row>
    <row r="17">
      <c r="A17" s="17" t="inlineStr">
        <is>
          <t>S-002</t>
        </is>
      </c>
      <c r="B17" s="17" t="inlineStr">
        <is>
          <t>AC6</t>
        </is>
      </c>
      <c r="C17" s="17" t="inlineStr">
        <is>
          <t>pytest runs against Postgres test DB with transaction-per-test rollback.</t>
        </is>
      </c>
      <c r="D17" s="17" t="inlineStr">
        <is>
          <t>D11 §2</t>
        </is>
      </c>
      <c r="E17" s="17" t="inlineStr">
        <is>
          <t>Pass</t>
        </is>
      </c>
      <c r="F17" s="17" t="inlineStr"/>
    </row>
    <row r="18">
      <c r="A18" s="18" t="inlineStr">
        <is>
          <t>S-002</t>
        </is>
      </c>
      <c r="B18" s="18" t="inlineStr">
        <is>
          <t>AC7</t>
        </is>
      </c>
      <c r="C18" s="18" t="inlineStr">
        <is>
          <t>ruff check backend → 0.</t>
        </is>
      </c>
      <c r="D18" s="18" t="inlineStr">
        <is>
          <t>D18</t>
        </is>
      </c>
      <c r="E18" s="18" t="inlineStr">
        <is>
          <t>Pass</t>
        </is>
      </c>
      <c r="F18" s="18" t="inlineStr"/>
    </row>
    <row r="19">
      <c r="A19" s="17" t="inlineStr">
        <is>
          <t>S-003</t>
        </is>
      </c>
      <c r="B19" s="17" t="inlineStr">
        <is>
          <t>AC1</t>
        </is>
      </c>
      <c r="C19" s="17" t="inlineStr">
        <is>
          <t>POST /books valid body → 201 + Book.</t>
        </is>
      </c>
      <c r="D19" s="17" t="inlineStr">
        <is>
          <t>TC-001 / US-01</t>
        </is>
      </c>
      <c r="E19" s="17" t="inlineStr">
        <is>
          <t>Pass</t>
        </is>
      </c>
      <c r="F19" s="17" t="inlineStr"/>
    </row>
    <row r="20">
      <c r="A20" s="18" t="inlineStr">
        <is>
          <t>S-003</t>
        </is>
      </c>
      <c r="B20" s="18" t="inlineStr">
        <is>
          <t>AC2</t>
        </is>
      </c>
      <c r="C20" s="18" t="inlineStr">
        <is>
          <t>Row persists in DB; id + created_at server-generated.</t>
        </is>
      </c>
      <c r="D20" s="18" t="inlineStr">
        <is>
          <t>US-01</t>
        </is>
      </c>
      <c r="E20" s="18" t="inlineStr">
        <is>
          <t>Pass</t>
        </is>
      </c>
      <c r="F20" s="18" t="inlineStr"/>
    </row>
    <row r="21">
      <c r="A21" s="17" t="inlineStr">
        <is>
          <t>S-003</t>
        </is>
      </c>
      <c r="B21" s="17" t="inlineStr">
        <is>
          <t>AC3</t>
        </is>
      </c>
      <c r="C21" s="17" t="inlineStr">
        <is>
          <t>Missing required field → 422.</t>
        </is>
      </c>
      <c r="D21" s="17" t="inlineStr">
        <is>
          <t>TC-002</t>
        </is>
      </c>
      <c r="E21" s="17" t="inlineStr">
        <is>
          <t>Pass</t>
        </is>
      </c>
      <c r="F21" s="17" t="inlineStr"/>
    </row>
    <row r="22">
      <c r="A22" s="18" t="inlineStr">
        <is>
          <t>S-003</t>
        </is>
      </c>
      <c r="B22" s="18" t="inlineStr">
        <is>
          <t>AC4</t>
        </is>
      </c>
      <c r="C22" s="18" t="inlineStr">
        <is>
          <t>status='Reading'→422; status='read'→201 normalized to 'Read'.</t>
        </is>
      </c>
      <c r="D22" s="18" t="inlineStr">
        <is>
          <t>TC-003/004</t>
        </is>
      </c>
      <c r="E22" s="18" t="inlineStr">
        <is>
          <t>Pass</t>
        </is>
      </c>
      <c r="F22" s="18" t="inlineStr"/>
    </row>
    <row r="23">
      <c r="A23" s="17" t="inlineStr">
        <is>
          <t>S-003</t>
        </is>
      </c>
      <c r="B23" s="17" t="inlineStr">
        <is>
          <t>AC5</t>
        </is>
      </c>
      <c r="C23" s="17" t="inlineStr">
        <is>
          <t>Length cap violations → 422.</t>
        </is>
      </c>
      <c r="D23" s="17" t="inlineStr">
        <is>
          <t>TC-082 / T-06</t>
        </is>
      </c>
      <c r="E23" s="17" t="inlineStr">
        <is>
          <t>Pass</t>
        </is>
      </c>
      <c r="F23" s="17" t="inlineStr"/>
    </row>
    <row r="24">
      <c r="A24" s="18" t="inlineStr">
        <is>
          <t>S-003</t>
        </is>
      </c>
      <c r="B24" s="18" t="inlineStr">
        <is>
          <t>AC6</t>
        </is>
      </c>
      <c r="C24" s="18" t="inlineStr">
        <is>
          <t>New row visible in subsequent reads.</t>
        </is>
      </c>
      <c r="D24" s="18" t="inlineStr">
        <is>
          <t>US-01 AC5</t>
        </is>
      </c>
      <c r="E24" s="18" t="inlineStr">
        <is>
          <t>Pass</t>
        </is>
      </c>
      <c r="F24" s="18" t="inlineStr"/>
    </row>
    <row r="25">
      <c r="A25" s="17" t="inlineStr">
        <is>
          <t>S-004</t>
        </is>
      </c>
      <c r="B25" s="17" t="inlineStr">
        <is>
          <t>AC1</t>
        </is>
      </c>
      <c r="C25" s="17" t="inlineStr">
        <is>
          <t>GET /books → Book[] ordered by created_at DESC.</t>
        </is>
      </c>
      <c r="D25" s="17" t="inlineStr">
        <is>
          <t>TC-005/006</t>
        </is>
      </c>
      <c r="E25" s="17" t="inlineStr">
        <is>
          <t>Pass</t>
        </is>
      </c>
      <c r="F25" s="17" t="inlineStr"/>
    </row>
    <row r="26">
      <c r="A26" s="18" t="inlineStr">
        <is>
          <t>S-004</t>
        </is>
      </c>
      <c r="B26" s="18" t="inlineStr">
        <is>
          <t>AC2</t>
        </is>
      </c>
      <c r="C26" s="18" t="inlineStr">
        <is>
          <t>Empty DB → [].</t>
        </is>
      </c>
      <c r="D26" s="18" t="inlineStr">
        <is>
          <t>TC-005</t>
        </is>
      </c>
      <c r="E26" s="18" t="inlineStr">
        <is>
          <t>Pass</t>
        </is>
      </c>
      <c r="F26" s="18" t="inlineStr"/>
    </row>
    <row r="27">
      <c r="A27" s="17" t="inlineStr">
        <is>
          <t>S-004</t>
        </is>
      </c>
      <c r="B27" s="17" t="inlineStr">
        <is>
          <t>AC3</t>
        </is>
      </c>
      <c r="C27" s="17" t="inlineStr">
        <is>
          <t>1001 rows → response length 1000 (HARD_LIMIT).</t>
        </is>
      </c>
      <c r="D27" s="17" t="inlineStr">
        <is>
          <t>TC-007 / T-05</t>
        </is>
      </c>
      <c r="E27" s="17" t="inlineStr">
        <is>
          <t>Pass</t>
        </is>
      </c>
      <c r="F27" s="17" t="inlineStr"/>
    </row>
    <row r="28">
      <c r="A28" s="18" t="inlineStr">
        <is>
          <t>S-004</t>
        </is>
      </c>
      <c r="B28" s="18" t="inlineStr">
        <is>
          <t>AC4</t>
        </is>
      </c>
      <c r="C28" s="18" t="inlineStr">
        <is>
          <t>GET /books/{id} found → 200 + Book.</t>
        </is>
      </c>
      <c r="D28" s="18" t="inlineStr">
        <is>
          <t>D7 §3.3</t>
        </is>
      </c>
      <c r="E28" s="18" t="inlineStr">
        <is>
          <t>Pass</t>
        </is>
      </c>
      <c r="F28" s="18" t="inlineStr"/>
    </row>
    <row r="29">
      <c r="A29" s="17" t="inlineStr">
        <is>
          <t>S-004</t>
        </is>
      </c>
      <c r="B29" s="17" t="inlineStr">
        <is>
          <t>AC5</t>
        </is>
      </c>
      <c r="C29" s="17" t="inlineStr">
        <is>
          <t>Unknown id → 404 {detail: Book not found}.</t>
        </is>
      </c>
      <c r="D29" s="17" t="inlineStr">
        <is>
          <t>TC-008</t>
        </is>
      </c>
      <c r="E29" s="17" t="inlineStr">
        <is>
          <t>Pass</t>
        </is>
      </c>
      <c r="F29" s="17" t="inlineStr"/>
    </row>
    <row r="30">
      <c r="A30" s="18" t="inlineStr">
        <is>
          <t>S-004</t>
        </is>
      </c>
      <c r="B30" s="18" t="inlineStr">
        <is>
          <t>AC6</t>
        </is>
      </c>
      <c r="C30" s="18" t="inlineStr">
        <is>
          <t>Response strictly matches Book schema.</t>
        </is>
      </c>
      <c r="D30" s="18" t="inlineStr">
        <is>
          <t>D7 §2</t>
        </is>
      </c>
      <c r="E30" s="18" t="inlineStr">
        <is>
          <t>Pass</t>
        </is>
      </c>
      <c r="F30" s="18" t="inlineStr"/>
    </row>
    <row r="31">
      <c r="A31" s="17" t="inlineStr">
        <is>
          <t>S-005</t>
        </is>
      </c>
      <c r="B31" s="17" t="inlineStr">
        <is>
          <t>AC1</t>
        </is>
      </c>
      <c r="C31" s="17" t="inlineStr">
        <is>
          <t>PUT /books/{id} valid → 200 + updated Book.</t>
        </is>
      </c>
      <c r="D31" s="17" t="inlineStr">
        <is>
          <t>TC-009 / US-03</t>
        </is>
      </c>
      <c r="E31" s="17" t="inlineStr">
        <is>
          <t>Pass</t>
        </is>
      </c>
      <c r="F31" s="17" t="inlineStr"/>
    </row>
    <row r="32">
      <c r="A32" s="18" t="inlineStr">
        <is>
          <t>S-005</t>
        </is>
      </c>
      <c r="B32" s="18" t="inlineStr">
        <is>
          <t>AC2</t>
        </is>
      </c>
      <c r="C32" s="18" t="inlineStr">
        <is>
          <t>Row updates; created_at unchanged.</t>
        </is>
      </c>
      <c r="D32" s="18" t="inlineStr">
        <is>
          <t>US-03 AC2</t>
        </is>
      </c>
      <c r="E32" s="18" t="inlineStr">
        <is>
          <t>Pass</t>
        </is>
      </c>
      <c r="F32" s="18" t="inlineStr"/>
    </row>
    <row r="33">
      <c r="A33" s="17" t="inlineStr">
        <is>
          <t>S-005</t>
        </is>
      </c>
      <c r="B33" s="17" t="inlineStr">
        <is>
          <t>AC3</t>
        </is>
      </c>
      <c r="C33" s="17" t="inlineStr">
        <is>
          <t>Unknown id → 404.</t>
        </is>
      </c>
      <c r="D33" s="17" t="inlineStr">
        <is>
          <t>US-03 AC3</t>
        </is>
      </c>
      <c r="E33" s="17" t="inlineStr">
        <is>
          <t>Pass</t>
        </is>
      </c>
      <c r="F33" s="17" t="inlineStr"/>
    </row>
    <row r="34">
      <c r="A34" s="18" t="inlineStr">
        <is>
          <t>S-005</t>
        </is>
      </c>
      <c r="B34" s="18" t="inlineStr">
        <is>
          <t>AC4</t>
        </is>
      </c>
      <c r="C34" s="18" t="inlineStr">
        <is>
          <t>Extra field → 422.</t>
        </is>
      </c>
      <c r="D34" s="18" t="inlineStr">
        <is>
          <t>TC-010 / T-04</t>
        </is>
      </c>
      <c r="E34" s="18" t="inlineStr">
        <is>
          <t>Pass</t>
        </is>
      </c>
      <c r="F34" s="18" t="inlineStr"/>
    </row>
    <row r="35">
      <c r="A35" s="17" t="inlineStr">
        <is>
          <t>S-005</t>
        </is>
      </c>
      <c r="B35" s="17" t="inlineStr">
        <is>
          <t>AC5</t>
        </is>
      </c>
      <c r="C35" s="17" t="inlineStr">
        <is>
          <t>Validation rules match POST (status canonical, length caps).</t>
        </is>
      </c>
      <c r="D35" s="17" t="inlineStr">
        <is>
          <t>D6 §5</t>
        </is>
      </c>
      <c r="E35" s="17" t="inlineStr">
        <is>
          <t>Pass</t>
        </is>
      </c>
      <c r="F35" s="17" t="inlineStr"/>
    </row>
    <row r="36">
      <c r="A36" s="18" t="inlineStr">
        <is>
          <t>S-006</t>
        </is>
      </c>
      <c r="B36" s="18" t="inlineStr">
        <is>
          <t>AC1</t>
        </is>
      </c>
      <c r="C36" s="18" t="inlineStr">
        <is>
          <t>DELETE /books/{id} → 204, empty body.</t>
        </is>
      </c>
      <c r="D36" s="18" t="inlineStr">
        <is>
          <t>TC-011 / US-04</t>
        </is>
      </c>
      <c r="E36" s="18" t="inlineStr">
        <is>
          <t>Pass</t>
        </is>
      </c>
      <c r="F36" s="18" t="inlineStr"/>
    </row>
    <row r="37">
      <c r="A37" s="17" t="inlineStr">
        <is>
          <t>S-006</t>
        </is>
      </c>
      <c r="B37" s="17" t="inlineStr">
        <is>
          <t>AC2</t>
        </is>
      </c>
      <c r="C37" s="17" t="inlineStr">
        <is>
          <t>Row gone from DB.</t>
        </is>
      </c>
      <c r="D37" s="17" t="inlineStr">
        <is>
          <t>US-04 AC2</t>
        </is>
      </c>
      <c r="E37" s="17" t="inlineStr">
        <is>
          <t>Pass</t>
        </is>
      </c>
      <c r="F37" s="17" t="inlineStr"/>
    </row>
    <row r="38">
      <c r="A38" s="18" t="inlineStr">
        <is>
          <t>S-006</t>
        </is>
      </c>
      <c r="B38" s="18" t="inlineStr">
        <is>
          <t>AC3</t>
        </is>
      </c>
      <c r="C38" s="18" t="inlineStr">
        <is>
          <t>Unknown id → 404.</t>
        </is>
      </c>
      <c r="D38" s="18" t="inlineStr">
        <is>
          <t>TC-012</t>
        </is>
      </c>
      <c r="E38" s="18" t="inlineStr">
        <is>
          <t>Pass</t>
        </is>
      </c>
      <c r="F38" s="18" t="inlineStr"/>
    </row>
    <row r="39">
      <c r="A39" s="17" t="inlineStr">
        <is>
          <t>S-007</t>
        </is>
      </c>
      <c r="B39" s="17" t="inlineStr">
        <is>
          <t>AC1</t>
        </is>
      </c>
      <c r="C39" s="17" t="inlineStr">
        <is>
          <t>?search=q case-insensitive substring on book_name or author.</t>
        </is>
      </c>
      <c r="D39" s="17" t="inlineStr">
        <is>
          <t>TC-020/021</t>
        </is>
      </c>
      <c r="E39" s="17" t="inlineStr">
        <is>
          <t>Pass</t>
        </is>
      </c>
      <c r="F39" s="17" t="inlineStr"/>
    </row>
    <row r="40">
      <c r="A40" s="18" t="inlineStr">
        <is>
          <t>S-007</t>
        </is>
      </c>
      <c r="B40" s="18" t="inlineStr">
        <is>
          <t>AC2</t>
        </is>
      </c>
      <c r="C40" s="18" t="inlineStr">
        <is>
          <t>Empty ?search behaves as no filter.</t>
        </is>
      </c>
      <c r="D40" s="18" t="inlineStr">
        <is>
          <t>TC-022</t>
        </is>
      </c>
      <c r="E40" s="18" t="inlineStr">
        <is>
          <t>Pass</t>
        </is>
      </c>
      <c r="F40" s="18" t="inlineStr"/>
    </row>
    <row r="41">
      <c r="A41" s="17" t="inlineStr">
        <is>
          <t>S-007</t>
        </is>
      </c>
      <c r="B41" s="17" t="inlineStr">
        <is>
          <t>AC3</t>
        </is>
      </c>
      <c r="C41" s="17" t="inlineStr">
        <is>
          <t>SQLi probe returns 0 rows; table intact.</t>
        </is>
      </c>
      <c r="D41" s="17" t="inlineStr">
        <is>
          <t>TC-023 / T-01</t>
        </is>
      </c>
      <c r="E41" s="17" t="inlineStr">
        <is>
          <t>Pass</t>
        </is>
      </c>
      <c r="F41" s="17" t="inlineStr"/>
    </row>
    <row r="42">
      <c r="A42" s="18" t="inlineStr">
        <is>
          <t>S-007</t>
        </is>
      </c>
      <c r="B42" s="18" t="inlineStr">
        <is>
          <t>AC4</t>
        </is>
      </c>
      <c r="C42" s="18" t="inlineStr">
        <is>
          <t>?author=X exact case-insensitive.</t>
        </is>
      </c>
      <c r="D42" s="18" t="inlineStr">
        <is>
          <t>TC-024</t>
        </is>
      </c>
      <c r="E42" s="18" t="inlineStr">
        <is>
          <t>Pass</t>
        </is>
      </c>
      <c r="F42" s="18" t="inlineStr"/>
    </row>
    <row r="43">
      <c r="A43" s="17" t="inlineStr">
        <is>
          <t>S-007</t>
        </is>
      </c>
      <c r="B43" s="17" t="inlineStr">
        <is>
          <t>AC5</t>
        </is>
      </c>
      <c r="C43" s="17" t="inlineStr">
        <is>
          <t>?genre=X exact case-insensitive.</t>
        </is>
      </c>
      <c r="D43" s="17" t="inlineStr">
        <is>
          <t>TC-025</t>
        </is>
      </c>
      <c r="E43" s="17" t="inlineStr">
        <is>
          <t>Pass</t>
        </is>
      </c>
      <c r="F43" s="17" t="inlineStr"/>
    </row>
    <row r="44">
      <c r="A44" s="18" t="inlineStr">
        <is>
          <t>S-007</t>
        </is>
      </c>
      <c r="B44" s="18" t="inlineStr">
        <is>
          <t>AC6</t>
        </is>
      </c>
      <c r="C44" s="18" t="inlineStr">
        <is>
          <t>?status=Read filters to Read only.</t>
        </is>
      </c>
      <c r="D44" s="18" t="inlineStr">
        <is>
          <t>TC-026</t>
        </is>
      </c>
      <c r="E44" s="18" t="inlineStr">
        <is>
          <t>Pass</t>
        </is>
      </c>
      <c r="F44" s="18" t="inlineStr"/>
    </row>
    <row r="45">
      <c r="A45" s="17" t="inlineStr">
        <is>
          <t>S-007</t>
        </is>
      </c>
      <c r="B45" s="17" t="inlineStr">
        <is>
          <t>AC7</t>
        </is>
      </c>
      <c r="C45" s="17" t="inlineStr">
        <is>
          <t>?status=foo → 422.</t>
        </is>
      </c>
      <c r="D45" s="17" t="inlineStr">
        <is>
          <t>TC-027</t>
        </is>
      </c>
      <c r="E45" s="17" t="inlineStr">
        <is>
          <t>Pass</t>
        </is>
      </c>
      <c r="F45" s="17" t="inlineStr"/>
    </row>
    <row r="46">
      <c r="A46" s="18" t="inlineStr">
        <is>
          <t>S-007</t>
        </is>
      </c>
      <c r="B46" s="18" t="inlineStr">
        <is>
          <t>AC8</t>
        </is>
      </c>
      <c r="C46" s="18" t="inlineStr">
        <is>
          <t>Filters compose with AND.</t>
        </is>
      </c>
      <c r="D46" s="18" t="inlineStr">
        <is>
          <t>TC-028</t>
        </is>
      </c>
      <c r="E46" s="18" t="inlineStr">
        <is>
          <t>Pass</t>
        </is>
      </c>
      <c r="F46" s="18" t="inlineStr"/>
    </row>
    <row r="47">
      <c r="A47" s="17" t="inlineStr">
        <is>
          <t>S-007</t>
        </is>
      </c>
      <c r="B47" s="17" t="inlineStr">
        <is>
          <t>AC9</t>
        </is>
      </c>
      <c r="C47" s="17" t="inlineStr">
        <is>
          <t>Median latency &lt; 50 ms with 1000 rows.</t>
        </is>
      </c>
      <c r="D47" s="17" t="inlineStr">
        <is>
          <t>TC-083 / Q-005</t>
        </is>
      </c>
      <c r="E47" s="17" t="inlineStr">
        <is>
          <t>Pass</t>
        </is>
      </c>
      <c r="F47" s="17" t="inlineStr"/>
    </row>
    <row r="48">
      <c r="A48" s="18" t="inlineStr">
        <is>
          <t>S-008</t>
        </is>
      </c>
      <c r="B48" s="18" t="inlineStr">
        <is>
          <t>AC1</t>
        </is>
      </c>
      <c r="C48" s="18" t="inlineStr">
        <is>
          <t>Vite boots on :5173 with zero console errors.</t>
        </is>
      </c>
      <c r="D48" s="18" t="inlineStr">
        <is>
          <t>D5</t>
        </is>
      </c>
      <c r="E48" s="18" t="inlineStr">
        <is>
          <t>Pass</t>
        </is>
      </c>
      <c r="F48" s="18" t="inlineStr"/>
    </row>
    <row r="49">
      <c r="A49" s="17" t="inlineStr">
        <is>
          <t>S-008</t>
        </is>
      </c>
      <c r="B49" s="17" t="inlineStr">
        <is>
          <t>AC2</t>
        </is>
      </c>
      <c r="C49" s="17" t="inlineStr">
        <is>
          <t>Router covers /, /books, /add, /edit/:id.</t>
        </is>
      </c>
      <c r="D49" s="17" t="inlineStr">
        <is>
          <t>D9</t>
        </is>
      </c>
      <c r="E49" s="17" t="inlineStr">
        <is>
          <t>Pass</t>
        </is>
      </c>
      <c r="F49" s="17" t="inlineStr"/>
    </row>
    <row r="50">
      <c r="A50" s="18" t="inlineStr">
        <is>
          <t>S-008</t>
        </is>
      </c>
      <c r="B50" s="18" t="inlineStr">
        <is>
          <t>AC3</t>
        </is>
      </c>
      <c r="C50" s="18" t="inlineStr">
        <is>
          <t>services/api.js exposes axios instance + getBooks().</t>
        </is>
      </c>
      <c r="D50" s="18" t="inlineStr">
        <is>
          <t>D5</t>
        </is>
      </c>
      <c r="E50" s="18" t="inlineStr">
        <is>
          <t>Pass</t>
        </is>
      </c>
      <c r="F50" s="18" t="inlineStr"/>
    </row>
    <row r="51">
      <c r="A51" s="17" t="inlineStr">
        <is>
          <t>S-008</t>
        </is>
      </c>
      <c r="B51" s="17" t="inlineStr">
        <is>
          <t>AC4</t>
        </is>
      </c>
      <c r="C51" s="17" t="inlineStr">
        <is>
          <t>Navbar present on every route with active link styling.</t>
        </is>
      </c>
      <c r="D51" s="17" t="inlineStr">
        <is>
          <t>D9 §6</t>
        </is>
      </c>
      <c r="E51" s="17" t="inlineStr">
        <is>
          <t>Pass</t>
        </is>
      </c>
      <c r="F51" s="17" t="inlineStr"/>
    </row>
    <row r="52">
      <c r="A52" s="18" t="inlineStr">
        <is>
          <t>S-008</t>
        </is>
      </c>
      <c r="B52" s="18" t="inlineStr">
        <is>
          <t>AC5</t>
        </is>
      </c>
      <c r="C52" s="18" t="inlineStr">
        <is>
          <t>Home renders Hero + Features + Stats.</t>
        </is>
      </c>
      <c r="D52" s="18" t="inlineStr">
        <is>
          <t>D9 §2</t>
        </is>
      </c>
      <c r="E52" s="18" t="inlineStr">
        <is>
          <t>Pass</t>
        </is>
      </c>
      <c r="F52" s="18" t="inlineStr"/>
    </row>
    <row r="53">
      <c r="A53" s="17" t="inlineStr">
        <is>
          <t>S-008</t>
        </is>
      </c>
      <c r="B53" s="17" t="inlineStr">
        <is>
          <t>AC6</t>
        </is>
      </c>
      <c r="C53" s="17" t="inlineStr">
        <is>
          <t>Stats reflect GET /books client-side.</t>
        </is>
      </c>
      <c r="D53" s="17" t="inlineStr">
        <is>
          <t>US-09</t>
        </is>
      </c>
      <c r="E53" s="17" t="inlineStr">
        <is>
          <t>Pass</t>
        </is>
      </c>
      <c r="F53" s="17" t="inlineStr"/>
    </row>
    <row r="54">
      <c r="A54" s="18" t="inlineStr">
        <is>
          <t>S-008</t>
        </is>
      </c>
      <c r="B54" s="18" t="inlineStr">
        <is>
          <t>AC7</t>
        </is>
      </c>
      <c r="C54" s="18" t="inlineStr">
        <is>
          <t>0 books → 0 stats, no NaN.</t>
        </is>
      </c>
      <c r="D54" s="18" t="inlineStr">
        <is>
          <t>US-10 AC2</t>
        </is>
      </c>
      <c r="E54" s="18" t="inlineStr">
        <is>
          <t>Pass</t>
        </is>
      </c>
      <c r="F54" s="18" t="inlineStr"/>
    </row>
    <row r="55">
      <c r="A55" s="17" t="inlineStr">
        <is>
          <t>S-008</t>
        </is>
      </c>
      <c r="B55" s="17" t="inlineStr">
        <is>
          <t>AC8</t>
        </is>
      </c>
      <c r="C55" s="17" t="inlineStr">
        <is>
          <t>No horizontal scroll at 360 px.</t>
        </is>
      </c>
      <c r="D55" s="17" t="inlineStr">
        <is>
          <t>Q-003</t>
        </is>
      </c>
      <c r="E55" s="17" t="inlineStr">
        <is>
          <t>Pass</t>
        </is>
      </c>
      <c r="F55" s="17" t="inlineStr"/>
    </row>
    <row r="56">
      <c r="A56" s="18" t="inlineStr">
        <is>
          <t>S-008</t>
        </is>
      </c>
      <c r="B56" s="18" t="inlineStr">
        <is>
          <t>AC9</t>
        </is>
      </c>
      <c r="C56" s="18" t="inlineStr">
        <is>
          <t>Lint + smoke tests pass.</t>
        </is>
      </c>
      <c r="D56" s="18" t="inlineStr">
        <is>
          <t>D11</t>
        </is>
      </c>
      <c r="E56" s="18" t="inlineStr">
        <is>
          <t>Pass</t>
        </is>
      </c>
      <c r="F56" s="18" t="inlineStr"/>
    </row>
    <row r="57">
      <c r="A57" s="17" t="inlineStr">
        <is>
          <t>S-008</t>
        </is>
      </c>
      <c r="B57" s="17" t="inlineStr">
        <is>
          <t>AC10</t>
        </is>
      </c>
      <c r="C57" s="17" t="inlineStr">
        <is>
          <t>frontend-design + ui-ux-pro-max invoked; tokens.js committed.</t>
        </is>
      </c>
      <c r="D57" s="17" t="inlineStr">
        <is>
          <t>D18 §0</t>
        </is>
      </c>
      <c r="E57" s="17" t="inlineStr">
        <is>
          <t>Pass</t>
        </is>
      </c>
      <c r="F57" s="17" t="inlineStr">
        <is>
          <t>Mandatory.</t>
        </is>
      </c>
    </row>
    <row r="58">
      <c r="A58" s="18" t="inlineStr">
        <is>
          <t>S-009</t>
        </is>
      </c>
      <c r="B58" s="18" t="inlineStr">
        <is>
          <t>AC1</t>
        </is>
      </c>
      <c r="C58" s="18" t="inlineStr">
        <is>
          <t>Books page lists cards in 1/2/3 col grid.</t>
        </is>
      </c>
      <c r="D58" s="18" t="inlineStr">
        <is>
          <t>D9 §3</t>
        </is>
      </c>
      <c r="E58" s="18" t="inlineStr">
        <is>
          <t>Pass</t>
        </is>
      </c>
      <c r="F58" s="18" t="inlineStr"/>
    </row>
    <row r="59">
      <c r="A59" s="17" t="inlineStr">
        <is>
          <t>S-009</t>
        </is>
      </c>
      <c r="B59" s="17" t="inlineStr">
        <is>
          <t>AC2</t>
        </is>
      </c>
      <c r="C59" s="17" t="inlineStr">
        <is>
          <t>Empty state with Add CTA.</t>
        </is>
      </c>
      <c r="D59" s="17" t="inlineStr">
        <is>
          <t>OQ-007</t>
        </is>
      </c>
      <c r="E59" s="17" t="inlineStr">
        <is>
          <t>Pass</t>
        </is>
      </c>
      <c r="F59" s="17" t="inlineStr"/>
    </row>
    <row r="60">
      <c r="A60" s="18" t="inlineStr">
        <is>
          <t>S-009</t>
        </is>
      </c>
      <c r="B60" s="18" t="inlineStr">
        <is>
          <t>AC3</t>
        </is>
      </c>
      <c r="C60" s="18" t="inlineStr">
        <is>
          <t>Card shows title/author/genre/status + Edit/Delete.</t>
        </is>
      </c>
      <c r="D60" s="18" t="inlineStr">
        <is>
          <t>D9 §6</t>
        </is>
      </c>
      <c r="E60" s="18" t="inlineStr">
        <is>
          <t>Pass</t>
        </is>
      </c>
      <c r="F60" s="18" t="inlineStr"/>
    </row>
    <row r="61">
      <c r="A61" s="17" t="inlineStr">
        <is>
          <t>S-009</t>
        </is>
      </c>
      <c r="B61" s="17" t="inlineStr">
        <is>
          <t>AC4</t>
        </is>
      </c>
      <c r="C61" s="17" t="inlineStr">
        <is>
          <t>Delete confirm modal then removes card without reload.</t>
        </is>
      </c>
      <c r="D61" s="17" t="inlineStr">
        <is>
          <t>TC-062</t>
        </is>
      </c>
      <c r="E61" s="17" t="inlineStr">
        <is>
          <t>Pass</t>
        </is>
      </c>
      <c r="F61" s="17" t="inlineStr"/>
    </row>
    <row r="62">
      <c r="A62" s="18" t="inlineStr">
        <is>
          <t>S-009</t>
        </is>
      </c>
      <c r="B62" s="18" t="inlineStr">
        <is>
          <t>AC5</t>
        </is>
      </c>
      <c r="C62" s="18" t="inlineStr">
        <is>
          <t>Failed delete shows red toast; card stays.</t>
        </is>
      </c>
      <c r="D62" s="18" t="inlineStr">
        <is>
          <t>Q-006</t>
        </is>
      </c>
      <c r="E62" s="18" t="inlineStr">
        <is>
          <t>Pass</t>
        </is>
      </c>
      <c r="F62" s="18" t="inlineStr"/>
    </row>
    <row r="63">
      <c r="A63" s="17" t="inlineStr">
        <is>
          <t>S-009</t>
        </is>
      </c>
      <c r="B63" s="17" t="inlineStr">
        <is>
          <t>AC6</t>
        </is>
      </c>
      <c r="C63" s="17" t="inlineStr">
        <is>
          <t>Edit link navigates to /edit/:id.</t>
        </is>
      </c>
      <c r="D63" s="17" t="inlineStr">
        <is>
          <t>D9 §5</t>
        </is>
      </c>
      <c r="E63" s="17" t="inlineStr">
        <is>
          <t>Pass</t>
        </is>
      </c>
      <c r="F63" s="17" t="inlineStr"/>
    </row>
    <row r="64">
      <c r="A64" s="18" t="inlineStr">
        <is>
          <t>S-009</t>
        </is>
      </c>
      <c r="B64" s="18" t="inlineStr">
        <is>
          <t>AC7</t>
        </is>
      </c>
      <c r="C64" s="18" t="inlineStr">
        <is>
          <t>&lt;script&gt; in book_name renders as text.</t>
        </is>
      </c>
      <c r="D64" s="18" t="inlineStr">
        <is>
          <t>TC-081 / T-02</t>
        </is>
      </c>
      <c r="E64" s="18" t="inlineStr">
        <is>
          <t>Pass</t>
        </is>
      </c>
      <c r="F64" s="18" t="inlineStr"/>
    </row>
    <row r="65">
      <c r="A65" s="17" t="inlineStr">
        <is>
          <t>S-009</t>
        </is>
      </c>
      <c r="B65" s="17" t="inlineStr">
        <is>
          <t>AC8</t>
        </is>
      </c>
      <c r="C65" s="17" t="inlineStr">
        <is>
          <t>360 px layout intact.</t>
        </is>
      </c>
      <c r="D65" s="17" t="inlineStr">
        <is>
          <t>Q-003</t>
        </is>
      </c>
      <c r="E65" s="17" t="inlineStr">
        <is>
          <t>Pass</t>
        </is>
      </c>
      <c r="F65" s="17" t="inlineStr"/>
    </row>
    <row r="66">
      <c r="A66" s="18" t="inlineStr">
        <is>
          <t>S-009</t>
        </is>
      </c>
      <c r="B66" s="18" t="inlineStr">
        <is>
          <t>AC9</t>
        </is>
      </c>
      <c r="C66" s="18" t="inlineStr">
        <is>
          <t>Lint + tests pass.</t>
        </is>
      </c>
      <c r="D66" s="18" t="inlineStr">
        <is>
          <t>D11</t>
        </is>
      </c>
      <c r="E66" s="18" t="inlineStr">
        <is>
          <t>Pass</t>
        </is>
      </c>
      <c r="F66" s="18" t="inlineStr"/>
    </row>
    <row r="67">
      <c r="A67" s="17" t="inlineStr">
        <is>
          <t>S-009</t>
        </is>
      </c>
      <c r="B67" s="17" t="inlineStr">
        <is>
          <t>AC10</t>
        </is>
      </c>
      <c r="C67" s="17" t="inlineStr">
        <is>
          <t>FE skills minuted; tokens extended.</t>
        </is>
      </c>
      <c r="D67" s="17" t="inlineStr">
        <is>
          <t>D18 §0</t>
        </is>
      </c>
      <c r="E67" s="17" t="inlineStr">
        <is>
          <t>Pass</t>
        </is>
      </c>
      <c r="F67" s="17" t="inlineStr">
        <is>
          <t>Mandatory.</t>
        </is>
      </c>
    </row>
    <row r="68">
      <c r="A68" s="18" t="inlineStr">
        <is>
          <t>S-010</t>
        </is>
      </c>
      <c r="B68" s="18" t="inlineStr">
        <is>
          <t>AC1</t>
        </is>
      </c>
      <c r="C68" s="18" t="inlineStr">
        <is>
          <t>Add page renders BookForm with 4 fields.</t>
        </is>
      </c>
      <c r="D68" s="18" t="inlineStr">
        <is>
          <t>D9 §4</t>
        </is>
      </c>
      <c r="E68" s="18" t="inlineStr">
        <is>
          <t>Pass</t>
        </is>
      </c>
      <c r="F68" s="18" t="inlineStr"/>
    </row>
    <row r="69">
      <c r="A69" s="17" t="inlineStr">
        <is>
          <t>S-010</t>
        </is>
      </c>
      <c r="B69" s="17" t="inlineStr">
        <is>
          <t>AC2</t>
        </is>
      </c>
      <c r="C69" s="17" t="inlineStr">
        <is>
          <t>Inline errors per field on empty submit.</t>
        </is>
      </c>
      <c r="D69" s="17" t="inlineStr">
        <is>
          <t>US-12 AC1</t>
        </is>
      </c>
      <c r="E69" s="17" t="inlineStr">
        <is>
          <t>Pass</t>
        </is>
      </c>
      <c r="F69" s="17" t="inlineStr"/>
    </row>
    <row r="70">
      <c r="A70" s="18" t="inlineStr">
        <is>
          <t>S-010</t>
        </is>
      </c>
      <c r="B70" s="18" t="inlineStr">
        <is>
          <t>AC3</t>
        </is>
      </c>
      <c r="C70" s="18" t="inlineStr">
        <is>
          <t>Status as radio (Read/Unread).</t>
        </is>
      </c>
      <c r="D70" s="18" t="inlineStr">
        <is>
          <t>D9 §6</t>
        </is>
      </c>
      <c r="E70" s="18" t="inlineStr">
        <is>
          <t>Pass</t>
        </is>
      </c>
      <c r="F70" s="18" t="inlineStr"/>
    </row>
    <row r="71">
      <c r="A71" s="17" t="inlineStr">
        <is>
          <t>S-010</t>
        </is>
      </c>
      <c r="B71" s="17" t="inlineStr">
        <is>
          <t>AC4</t>
        </is>
      </c>
      <c r="C71" s="17" t="inlineStr">
        <is>
          <t>Successful POST → toast + redirect to /books.</t>
        </is>
      </c>
      <c r="D71" s="17" t="inlineStr">
        <is>
          <t>D9 §4</t>
        </is>
      </c>
      <c r="E71" s="17" t="inlineStr">
        <is>
          <t>Pass</t>
        </is>
      </c>
      <c r="F71" s="17" t="inlineStr"/>
    </row>
    <row r="72">
      <c r="A72" s="18" t="inlineStr">
        <is>
          <t>S-010</t>
        </is>
      </c>
      <c r="B72" s="18" t="inlineStr">
        <is>
          <t>AC5</t>
        </is>
      </c>
      <c r="C72" s="18" t="inlineStr">
        <is>
          <t>API 422 maps to field-level errors.</t>
        </is>
      </c>
      <c r="D72" s="18" t="inlineStr">
        <is>
          <t>US-12 AC2</t>
        </is>
      </c>
      <c r="E72" s="18" t="inlineStr">
        <is>
          <t>Pass</t>
        </is>
      </c>
      <c r="F72" s="18" t="inlineStr"/>
    </row>
    <row r="73">
      <c r="A73" s="17" t="inlineStr">
        <is>
          <t>S-010</t>
        </is>
      </c>
      <c r="B73" s="17" t="inlineStr">
        <is>
          <t>AC6</t>
        </is>
      </c>
      <c r="C73" s="17" t="inlineStr">
        <is>
          <t>Form keyboard-navigable; Enter submits.</t>
        </is>
      </c>
      <c r="D73" s="17" t="inlineStr">
        <is>
          <t>Q-002</t>
        </is>
      </c>
      <c r="E73" s="17" t="inlineStr">
        <is>
          <t>Pass</t>
        </is>
      </c>
      <c r="F73" s="17" t="inlineStr"/>
    </row>
    <row r="74">
      <c r="A74" s="18" t="inlineStr">
        <is>
          <t>S-010</t>
        </is>
      </c>
      <c r="B74" s="18" t="inlineStr">
        <is>
          <t>AC7</t>
        </is>
      </c>
      <c r="C74" s="18" t="inlineStr">
        <is>
          <t>Submit disabled in-flight; no double-submit.</t>
        </is>
      </c>
      <c r="D74" s="18" t="inlineStr">
        <is>
          <t>Q-006</t>
        </is>
      </c>
      <c r="E74" s="18" t="inlineStr">
        <is>
          <t>Pass</t>
        </is>
      </c>
      <c r="F74" s="18" t="inlineStr"/>
    </row>
    <row r="75">
      <c r="A75" s="17" t="inlineStr">
        <is>
          <t>S-010</t>
        </is>
      </c>
      <c r="B75" s="17" t="inlineStr">
        <is>
          <t>AC8</t>
        </is>
      </c>
      <c r="C75" s="17" t="inlineStr">
        <is>
          <t>Lint + tests + 360 px clean.</t>
        </is>
      </c>
      <c r="D75" s="17" t="inlineStr">
        <is>
          <t>D11</t>
        </is>
      </c>
      <c r="E75" s="17" t="inlineStr">
        <is>
          <t>Pass</t>
        </is>
      </c>
      <c r="F75" s="17" t="inlineStr"/>
    </row>
    <row r="76">
      <c r="A76" s="18" t="inlineStr">
        <is>
          <t>S-010</t>
        </is>
      </c>
      <c r="B76" s="18" t="inlineStr">
        <is>
          <t>AC9</t>
        </is>
      </c>
      <c r="C76" s="18" t="inlineStr">
        <is>
          <t>FE skills invoked for form treatment.</t>
        </is>
      </c>
      <c r="D76" s="18" t="inlineStr">
        <is>
          <t>D18 §0</t>
        </is>
      </c>
      <c r="E76" s="18" t="inlineStr">
        <is>
          <t>Pass</t>
        </is>
      </c>
      <c r="F76" s="18" t="inlineStr">
        <is>
          <t>Mandatory.</t>
        </is>
      </c>
    </row>
    <row r="77">
      <c r="A77" s="17" t="inlineStr">
        <is>
          <t>S-011</t>
        </is>
      </c>
      <c r="B77" s="17" t="inlineStr">
        <is>
          <t>AC1</t>
        </is>
      </c>
      <c r="C77" s="17" t="inlineStr">
        <is>
          <t>Edit page prefills from GET /books/{id}.</t>
        </is>
      </c>
      <c r="D77" s="17" t="inlineStr">
        <is>
          <t>US-03 AC5</t>
        </is>
      </c>
      <c r="E77" s="17" t="inlineStr">
        <is>
          <t>Pass</t>
        </is>
      </c>
      <c r="F77" s="17" t="inlineStr"/>
    </row>
    <row r="78">
      <c r="A78" s="18" t="inlineStr">
        <is>
          <t>S-011</t>
        </is>
      </c>
      <c r="B78" s="18" t="inlineStr">
        <is>
          <t>AC2</t>
        </is>
      </c>
      <c r="C78" s="18" t="inlineStr">
        <is>
          <t>Skeleton placeholder while loading; no layout jump.</t>
        </is>
      </c>
      <c r="D78" s="18" t="inlineStr">
        <is>
          <t>D9 §5</t>
        </is>
      </c>
      <c r="E78" s="18" t="inlineStr">
        <is>
          <t>Pass</t>
        </is>
      </c>
      <c r="F78" s="18" t="inlineStr"/>
    </row>
    <row r="79">
      <c r="A79" s="17" t="inlineStr">
        <is>
          <t>S-011</t>
        </is>
      </c>
      <c r="B79" s="17" t="inlineStr">
        <is>
          <t>AC3</t>
        </is>
      </c>
      <c r="C79" s="17" t="inlineStr">
        <is>
          <t>PUT success → toast + redirect to /books.</t>
        </is>
      </c>
      <c r="D79" s="17" t="inlineStr">
        <is>
          <t>D7</t>
        </is>
      </c>
      <c r="E79" s="17" t="inlineStr">
        <is>
          <t>Pass</t>
        </is>
      </c>
      <c r="F79" s="17" t="inlineStr"/>
    </row>
    <row r="80">
      <c r="A80" s="18" t="inlineStr">
        <is>
          <t>S-011</t>
        </is>
      </c>
      <c r="B80" s="18" t="inlineStr">
        <is>
          <t>AC4</t>
        </is>
      </c>
      <c r="C80" s="18" t="inlineStr">
        <is>
          <t>404 on load → redirect /books + error toast.</t>
        </is>
      </c>
      <c r="D80" s="18" t="inlineStr">
        <is>
          <t>D16</t>
        </is>
      </c>
      <c r="E80" s="18" t="inlineStr">
        <is>
          <t>Pass</t>
        </is>
      </c>
      <c r="F80" s="18" t="inlineStr"/>
    </row>
    <row r="81">
      <c r="A81" s="17" t="inlineStr">
        <is>
          <t>S-011</t>
        </is>
      </c>
      <c r="B81" s="17" t="inlineStr">
        <is>
          <t>AC5</t>
        </is>
      </c>
      <c r="C81" s="17" t="inlineStr">
        <is>
          <t>422 on PUT → inline errors via shared plumbing.</t>
        </is>
      </c>
      <c r="D81" s="17" t="inlineStr">
        <is>
          <t>US-12 AC2</t>
        </is>
      </c>
      <c r="E81" s="17" t="inlineStr">
        <is>
          <t>Pass</t>
        </is>
      </c>
      <c r="F81" s="17" t="inlineStr"/>
    </row>
    <row r="82">
      <c r="A82" s="18" t="inlineStr">
        <is>
          <t>S-011</t>
        </is>
      </c>
      <c r="B82" s="18" t="inlineStr">
        <is>
          <t>AC6</t>
        </is>
      </c>
      <c r="C82" s="18" t="inlineStr">
        <is>
          <t>BookForm contract unchanged.</t>
        </is>
      </c>
      <c r="D82" s="18" t="inlineStr">
        <is>
          <t>S-010</t>
        </is>
      </c>
      <c r="E82" s="18" t="inlineStr">
        <is>
          <t>Pass</t>
        </is>
      </c>
      <c r="F82" s="18" t="inlineStr"/>
    </row>
    <row r="83">
      <c r="A83" s="17" t="inlineStr">
        <is>
          <t>S-011</t>
        </is>
      </c>
      <c r="B83" s="17" t="inlineStr">
        <is>
          <t>AC7</t>
        </is>
      </c>
      <c r="C83" s="17" t="inlineStr">
        <is>
          <t>Lint + tests + 360 px clean.</t>
        </is>
      </c>
      <c r="D83" s="17" t="inlineStr">
        <is>
          <t>D11</t>
        </is>
      </c>
      <c r="E83" s="17" t="inlineStr">
        <is>
          <t>Pass</t>
        </is>
      </c>
      <c r="F83" s="17" t="inlineStr"/>
    </row>
    <row r="84">
      <c r="A84" s="18" t="inlineStr">
        <is>
          <t>S-011</t>
        </is>
      </c>
      <c r="B84" s="18" t="inlineStr">
        <is>
          <t>AC8</t>
        </is>
      </c>
      <c r="C84" s="18" t="inlineStr">
        <is>
          <t>FE skills invoked for skeleton pattern.</t>
        </is>
      </c>
      <c r="D84" s="18" t="inlineStr">
        <is>
          <t>D18 §0</t>
        </is>
      </c>
      <c r="E84" s="18" t="inlineStr">
        <is>
          <t>Pass</t>
        </is>
      </c>
      <c r="F84" s="18" t="inlineStr">
        <is>
          <t>Mandatory.</t>
        </is>
      </c>
    </row>
    <row r="85">
      <c r="A85" s="17" t="inlineStr">
        <is>
          <t>S-012</t>
        </is>
      </c>
      <c r="B85" s="17" t="inlineStr">
        <is>
          <t>AC1</t>
        </is>
      </c>
      <c r="C85" s="17" t="inlineStr">
        <is>
          <t>Filter bar with SearchBar + 3 dropdowns.</t>
        </is>
      </c>
      <c r="D85" s="17" t="inlineStr">
        <is>
          <t>D9 §3</t>
        </is>
      </c>
      <c r="E85" s="17" t="inlineStr">
        <is>
          <t>Pass</t>
        </is>
      </c>
      <c r="F85" s="17" t="inlineStr">
        <is>
          <t>Books.filters.test.jsx — sticky filter bar test.</t>
        </is>
      </c>
    </row>
    <row r="86">
      <c r="A86" s="18" t="inlineStr">
        <is>
          <t>S-012</t>
        </is>
      </c>
      <c r="B86" s="18" t="inlineStr">
        <is>
          <t>AC2</t>
        </is>
      </c>
      <c r="C86" s="18" t="inlineStr">
        <is>
          <t>Search debounces 250ms then fetches.</t>
        </is>
      </c>
      <c r="D86" s="18" t="inlineStr">
        <is>
          <t>TC-063</t>
        </is>
      </c>
      <c r="E86" s="18" t="inlineStr">
        <is>
          <t>Pass</t>
        </is>
      </c>
      <c r="F86" s="18" t="inlineStr">
        <is>
          <t>Books.filters.test.jsx — composes search + dropdown params (250ms debounce).</t>
        </is>
      </c>
    </row>
    <row r="87">
      <c r="A87" s="17" t="inlineStr">
        <is>
          <t>S-012</t>
        </is>
      </c>
      <c r="B87" s="17" t="inlineStr">
        <is>
          <t>AC3</t>
        </is>
      </c>
      <c r="C87" s="17" t="inlineStr">
        <is>
          <t>Filters update URL params and refetch combined.</t>
        </is>
      </c>
      <c r="D87" s="17" t="inlineStr">
        <is>
          <t>TC-064</t>
        </is>
      </c>
      <c r="E87" s="17" t="inlineStr">
        <is>
          <t>Pass</t>
        </is>
      </c>
      <c r="F87" s="17" t="inlineStr">
        <is>
          <t>Books.filters.test.jsx — dropdown updates URL + refetches.</t>
        </is>
      </c>
    </row>
    <row r="88">
      <c r="A88" s="18" t="inlineStr">
        <is>
          <t>S-012</t>
        </is>
      </c>
      <c r="B88" s="18" t="inlineStr">
        <is>
          <t>AC4</t>
        </is>
      </c>
      <c r="C88" s="18" t="inlineStr">
        <is>
          <t>Author/Genre options derive from current results.</t>
        </is>
      </c>
      <c r="D88" s="18" t="inlineStr">
        <is>
          <t>D9 §6</t>
        </is>
      </c>
      <c r="E88" s="18" t="inlineStr">
        <is>
          <t>Pass</t>
        </is>
      </c>
      <c r="F88" s="18" t="inlineStr">
        <is>
          <t>Books.filters.test.jsx — populates Author/Genre sorted, Status fixed.</t>
        </is>
      </c>
    </row>
    <row r="89">
      <c r="A89" s="17" t="inlineStr">
        <is>
          <t>S-012</t>
        </is>
      </c>
      <c r="B89" s="17" t="inlineStr">
        <is>
          <t>AC5</t>
        </is>
      </c>
      <c r="C89" s="17" t="inlineStr">
        <is>
          <t>Clear-button resets search.</t>
        </is>
      </c>
      <c r="D89" s="17" t="inlineStr">
        <is>
          <t>D9 §6</t>
        </is>
      </c>
      <c r="E89" s="17" t="inlineStr">
        <is>
          <t>Pass</t>
        </is>
      </c>
      <c r="F89" s="17" t="inlineStr">
        <is>
          <t>Books.filters.test.jsx + SearchBar.test.jsx — clear button visibility + refetch.</t>
        </is>
      </c>
    </row>
    <row r="90">
      <c r="A90" s="18" t="inlineStr">
        <is>
          <t>S-012</t>
        </is>
      </c>
      <c r="B90" s="18" t="inlineStr">
        <is>
          <t>AC6</t>
        </is>
      </c>
      <c r="C90" s="18" t="inlineStr">
        <is>
          <t>Filters persist across navigation via URL.</t>
        </is>
      </c>
      <c r="D90" s="18" t="inlineStr">
        <is>
          <t>D9</t>
        </is>
      </c>
      <c r="E90" s="18" t="inlineStr">
        <is>
          <t>Pass</t>
        </is>
      </c>
      <c r="F90" s="18" t="inlineStr">
        <is>
          <t>Books.filters.test.jsx — mounts at /books?search=ato&amp;status=Read; inputs reflect URL.</t>
        </is>
      </c>
    </row>
    <row r="91">
      <c r="A91" s="17" t="inlineStr">
        <is>
          <t>S-012</t>
        </is>
      </c>
      <c r="B91" s="17" t="inlineStr">
        <is>
          <t>AC7</t>
        </is>
      </c>
      <c r="C91" s="17" t="inlineStr">
        <is>
          <t>Lint + tests + 360 px clean.</t>
        </is>
      </c>
      <c r="D91" s="17" t="inlineStr">
        <is>
          <t>D11</t>
        </is>
      </c>
      <c r="E91" s="17" t="inlineStr">
        <is>
          <t>Pass</t>
        </is>
      </c>
      <c r="F91" s="17" t="inlineStr">
        <is>
          <t>npm test 35/35; npm run lint clean; flex/grid wraps at 360 px.</t>
        </is>
      </c>
    </row>
    <row r="92">
      <c r="A92" s="18" t="inlineStr">
        <is>
          <t>S-012</t>
        </is>
      </c>
      <c r="B92" s="18" t="inlineStr">
        <is>
          <t>AC8</t>
        </is>
      </c>
      <c r="C92" s="18" t="inlineStr">
        <is>
          <t>FE skills invoked for filter-bar styling.</t>
        </is>
      </c>
      <c r="D92" s="18" t="inlineStr">
        <is>
          <t>D18 §0</t>
        </is>
      </c>
      <c r="E92" s="18" t="inlineStr">
        <is>
          <t>Pass</t>
        </is>
      </c>
      <c r="F92" s="18" t="inlineStr">
        <is>
          <t>Mandatory. Skills invoked in prior authoring session — design choices recorded in Books.jsx lines 156-163.</t>
        </is>
      </c>
    </row>
    <row r="93">
      <c r="A93" s="17" t="inlineStr">
        <is>
          <t>S-013</t>
        </is>
      </c>
      <c r="B93" s="17" t="inlineStr">
        <is>
          <t>AC1</t>
        </is>
      </c>
      <c r="C93" s="17" t="inlineStr">
        <is>
          <t>README covers 5-minute local setup end-to-end.</t>
        </is>
      </c>
      <c r="D93" s="17" t="inlineStr">
        <is>
          <t>D13</t>
        </is>
      </c>
      <c r="E93" s="17" t="inlineStr">
        <is>
          <t>Pass</t>
        </is>
      </c>
      <c r="F93" s="17" t="inlineStr">
        <is>
          <t>README.md §Quickstart copy-pasteable; commands derived from the working tree that already produces 37+35 green tests.</t>
        </is>
      </c>
    </row>
    <row r="94">
      <c r="A94" s="18" t="inlineStr">
        <is>
          <t>S-013</t>
        </is>
      </c>
      <c r="B94" s="18" t="inlineStr">
        <is>
          <t>AC2</t>
        </is>
      </c>
      <c r="C94" s="18" t="inlineStr">
        <is>
          <t>.env.example files complete; no secret committed.</t>
        </is>
      </c>
      <c r="D94" s="18" t="inlineStr">
        <is>
          <t>T-08</t>
        </is>
      </c>
      <c r="E94" s="18" t="inlineStr">
        <is>
          <t>Pass</t>
        </is>
      </c>
      <c r="F94" s="18" t="inlineStr">
        <is>
          <t>backend/.env.example + frontend/.env.example complete; .env files not staged (git ls-files | grep .env$ empty).</t>
        </is>
      </c>
    </row>
    <row r="95">
      <c r="A95" s="17" t="inlineStr">
        <is>
          <t>S-013</t>
        </is>
      </c>
      <c r="B95" s="17" t="inlineStr">
        <is>
          <t>AC3</t>
        </is>
      </c>
      <c r="C95" s="17" t="inlineStr">
        <is>
          <t>CI workflow with Postgres service container green on PR.</t>
        </is>
      </c>
      <c r="D95" s="17" t="inlineStr">
        <is>
          <t>D4 §6</t>
        </is>
      </c>
      <c r="E95" s="17" t="inlineStr">
        <is>
          <t>Pass (structure) / deferred (live)</t>
        </is>
      </c>
      <c r="F95" s="17" t="inlineStr">
        <is>
          <t>.github/workflows/ci.yml created per D4 §6; will run on first push to a GitHub remote (not yet pushed).</t>
        </is>
      </c>
    </row>
    <row r="96">
      <c r="A96" s="18" t="inlineStr">
        <is>
          <t>S-013</t>
        </is>
      </c>
      <c r="B96" s="18" t="inlineStr">
        <is>
          <t>AC4</t>
        </is>
      </c>
      <c r="C96" s="18" t="inlineStr">
        <is>
          <t>Deploy notes for Render + Vercel.</t>
        </is>
      </c>
      <c r="D96" s="18" t="inlineStr">
        <is>
          <t>D13</t>
        </is>
      </c>
      <c r="E96" s="18" t="inlineStr">
        <is>
          <t>Pass</t>
        </is>
      </c>
      <c r="F96" s="18" t="inlineStr">
        <is>
          <t>README §Deploy covers Render service config + Vercel project config; labelled illustrative because OQ-001 is deferred.</t>
        </is>
      </c>
    </row>
    <row r="97">
      <c r="A97" s="17" t="inlineStr">
        <is>
          <t>S-013</t>
        </is>
      </c>
      <c r="B97" s="17" t="inlineStr">
        <is>
          <t>AC5</t>
        </is>
      </c>
      <c r="C97" s="17" t="inlineStr">
        <is>
          <t>Clean-clone smoke under 5 min; recorded in Evidence.</t>
        </is>
      </c>
      <c r="D97" s="17" t="inlineStr">
        <is>
          <t>Q-008</t>
        </is>
      </c>
      <c r="E97" s="17" t="inlineStr">
        <is>
          <t>Deferred</t>
        </is>
      </c>
      <c r="F97" s="17" t="inlineStr">
        <is>
          <t>Per user direction (2026-06-29). To close: run README §Quickstart on a fresh machine with stopwatch + screenshot, append §AC5 Live Smoke block to Evidence.</t>
        </is>
      </c>
    </row>
    <row r="98">
      <c r="A98" s="18" t="inlineStr">
        <is>
          <t>S-013</t>
        </is>
      </c>
      <c r="B98" s="18" t="inlineStr">
        <is>
          <t>AC6</t>
        </is>
      </c>
      <c r="C98" s="18" t="inlineStr">
        <is>
          <t>git ls-files | grep -E .env$ returns empty.</t>
        </is>
      </c>
      <c r="D98" s="18" t="inlineStr">
        <is>
          <t>T-08</t>
        </is>
      </c>
      <c r="E98" s="18" t="inlineStr">
        <is>
          <t>Pass</t>
        </is>
      </c>
      <c r="F98" s="18" t="inlineStr">
        <is>
          <t>Verified post-commit on 3dcb799: empty. Also verified .venv, node_modules, __pycache__, dist all unstaged.</t>
        </is>
      </c>
    </row>
  </sheetData>
  <mergeCells count="2">
    <mergeCell ref="A2:F2"/>
    <mergeCell ref="A1:F1"/>
  </mergeCells>
  <conditionalFormatting sqref="E5:E98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1">
      <formula>"Skipped"</formula>
    </cfRule>
  </conditionalFormatting>
  <dataValidations count="1">
    <dataValidation sqref="E5:E98" showDropDown="0" showInputMessage="0" showErrorMessage="0" allowBlank="0" error="Pick one of: Not run, Pass, Fail, Skipped" type="list">
      <formula1>"Not run,Pass,Fail,Skipped"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28" customWidth="1" min="4" max="4"/>
    <col width="50" customWidth="1" min="5" max="5"/>
    <col width="12" customWidth="1" min="6" max="6"/>
    <col width="13" customWidth="1" min="7" max="7"/>
  </cols>
  <sheetData>
    <row r="1" ht="32" customHeight="1">
      <c r="A1" s="1" t="inlineStr">
        <is>
          <t>Open Questions</t>
        </is>
      </c>
    </row>
    <row r="2" ht="18" customHeight="1">
      <c r="A2" s="2" t="inlineStr">
        <is>
          <t>Blockers halt downstream packets. Resolve, then mirror the decision into the relevant doc.</t>
        </is>
      </c>
    </row>
    <row r="4" ht="28" customHeight="1">
      <c r="A4" s="4" t="inlineStr">
        <is>
          <t>ID</t>
        </is>
      </c>
      <c r="B4" s="4" t="inlineStr">
        <is>
          <t>Question</t>
        </is>
      </c>
      <c r="C4" s="4" t="inlineStr">
        <is>
          <t>Status</t>
        </is>
      </c>
      <c r="D4" s="4" t="inlineStr">
        <is>
          <t>Affects</t>
        </is>
      </c>
      <c r="E4" s="4" t="inlineStr">
        <is>
          <t>Decision / Resolution</t>
        </is>
      </c>
      <c r="F4" s="4" t="inlineStr">
        <is>
          <t>Owner</t>
        </is>
      </c>
      <c r="G4" s="4" t="inlineStr">
        <is>
          <t>Updated</t>
        </is>
      </c>
    </row>
    <row r="5">
      <c r="A5" s="17" t="inlineStr">
        <is>
          <t>OQ-001</t>
        </is>
      </c>
      <c r="B5" s="17" t="inlineStr">
        <is>
          <t>Production deploy target (Render+Vercel vs Railway vs Fly).</t>
        </is>
      </c>
      <c r="C5" s="17" t="inlineStr">
        <is>
          <t>Open (deferred)</t>
        </is>
      </c>
      <c r="D5" s="17" t="inlineStr">
        <is>
          <t>D13, S-013</t>
        </is>
      </c>
      <c r="E5" s="17" t="inlineStr">
        <is>
          <t>Deferred past S-013 close at user direction (2026-06-29). README §Deploy documents Render + Vercel illustratively.</t>
        </is>
      </c>
      <c r="F5" s="17" t="inlineStr">
        <is>
          <t>Builder</t>
        </is>
      </c>
      <c r="G5" s="17" t="inlineStr">
        <is>
          <t>2026-06-29</t>
        </is>
      </c>
    </row>
    <row r="6">
      <c r="A6" s="18" t="inlineStr">
        <is>
          <t>OQ-002</t>
        </is>
      </c>
      <c r="B6" s="18" t="inlineStr">
        <is>
          <t>Database choice across environments.</t>
        </is>
      </c>
      <c r="C6" s="18" t="inlineStr">
        <is>
          <t>Resolved</t>
        </is>
      </c>
      <c r="D6" s="18" t="inlineStr">
        <is>
          <t>D5, D6, D11, D13, D14, D16</t>
        </is>
      </c>
      <c r="E6" s="18" t="inlineStr">
        <is>
          <t>PostgreSQL in dev/test/prod; docker-compose locally; managed in prod. No SQLite.</t>
        </is>
      </c>
      <c r="F6" s="18" t="inlineStr">
        <is>
          <t>Builder</t>
        </is>
      </c>
      <c r="G6" s="18" t="inlineStr">
        <is>
          <t>2026-06-23</t>
        </is>
      </c>
    </row>
    <row r="7">
      <c r="A7" s="17" t="inlineStr">
        <is>
          <t>OQ-003</t>
        </is>
      </c>
      <c r="B7" s="17" t="inlineStr">
        <is>
          <t>genre free-text vs enum?</t>
        </is>
      </c>
      <c r="C7" s="17" t="inlineStr">
        <is>
          <t>Resolved</t>
        </is>
      </c>
      <c r="D7" s="17" t="inlineStr">
        <is>
          <t>D6, S-007, S-012</t>
        </is>
      </c>
      <c r="E7" s="17" t="inlineStr">
        <is>
          <t>Free-text in v1; UI dropdown populated from distinct values in current results.</t>
        </is>
      </c>
      <c r="F7" s="17" t="inlineStr">
        <is>
          <t>Builder</t>
        </is>
      </c>
      <c r="G7" s="17" t="inlineStr">
        <is>
          <t>2026-06-23</t>
        </is>
      </c>
    </row>
    <row r="8">
      <c r="A8" s="18" t="inlineStr">
        <is>
          <t>OQ-004</t>
        </is>
      </c>
      <c r="B8" s="18" t="inlineStr">
        <is>
          <t>created_at format from API.</t>
        </is>
      </c>
      <c r="C8" s="18" t="inlineStr">
        <is>
          <t>Resolved</t>
        </is>
      </c>
      <c r="D8" s="18" t="inlineStr">
        <is>
          <t>D7</t>
        </is>
      </c>
      <c r="E8" s="18" t="inlineStr">
        <is>
          <t>UTC ISO 8601 from API; humanize client-side via Intl.RelativeTimeFormat.</t>
        </is>
      </c>
      <c r="F8" s="18" t="inlineStr">
        <is>
          <t>Builder</t>
        </is>
      </c>
      <c r="G8" s="18" t="inlineStr">
        <is>
          <t>2026-06-23</t>
        </is>
      </c>
    </row>
    <row r="9">
      <c r="A9" s="17" t="inlineStr">
        <is>
          <t>OQ-005</t>
        </is>
      </c>
      <c r="B9" s="17" t="inlineStr">
        <is>
          <t>Client- or server-side stats?</t>
        </is>
      </c>
      <c r="C9" s="17" t="inlineStr">
        <is>
          <t>Resolved</t>
        </is>
      </c>
      <c r="D9" s="17" t="inlineStr">
        <is>
          <t>F-007, S-008</t>
        </is>
      </c>
      <c r="E9" s="17" t="inlineStr">
        <is>
          <t>Client-side from GET /books in v1; server endpoint when row count grows past 1k.</t>
        </is>
      </c>
      <c r="F9" s="17" t="inlineStr">
        <is>
          <t>Builder</t>
        </is>
      </c>
      <c r="G9" s="17" t="inlineStr">
        <is>
          <t>2026-06-23</t>
        </is>
      </c>
    </row>
    <row r="10">
      <c r="A10" s="18" t="inlineStr">
        <is>
          <t>OQ-006</t>
        </is>
      </c>
      <c r="B10" s="18" t="inlineStr">
        <is>
          <t>Normalize status case on input?</t>
        </is>
      </c>
      <c r="C10" s="18" t="inlineStr">
        <is>
          <t>Resolved</t>
        </is>
      </c>
      <c r="D10" s="18" t="inlineStr">
        <is>
          <t>S-003, S-005</t>
        </is>
      </c>
      <c r="E10" s="18" t="inlineStr">
        <is>
          <t>Accept case-insensitive; persist canonical 'Read'/'Unread'.</t>
        </is>
      </c>
      <c r="F10" s="18" t="inlineStr">
        <is>
          <t>Builder</t>
        </is>
      </c>
      <c r="G10" s="18" t="inlineStr">
        <is>
          <t>2026-06-23</t>
        </is>
      </c>
    </row>
    <row r="11">
      <c r="A11" s="17" t="inlineStr">
        <is>
          <t>OQ-007</t>
        </is>
      </c>
      <c r="B11" s="17" t="inlineStr">
        <is>
          <t>Books page empty state.</t>
        </is>
      </c>
      <c r="C11" s="17" t="inlineStr">
        <is>
          <t>Resolved</t>
        </is>
      </c>
      <c r="D11" s="17" t="inlineStr">
        <is>
          <t>S-009</t>
        </is>
      </c>
      <c r="E11" s="17" t="inlineStr">
        <is>
          <t>Centered empty-state card with 'Add your first book' CTA.</t>
        </is>
      </c>
      <c r="F11" s="17" t="inlineStr">
        <is>
          <t>Builder</t>
        </is>
      </c>
      <c r="G11" s="17" t="inlineStr">
        <is>
          <t>2026-06-23</t>
        </is>
      </c>
    </row>
  </sheetData>
  <mergeCells count="2">
    <mergeCell ref="A2:G2"/>
    <mergeCell ref="A1:G1"/>
  </mergeCells>
  <conditionalFormatting sqref="C5:C11">
    <cfRule type="cellIs" priority="1" operator="equal" dxfId="0">
      <formula>"Resolved"</formula>
    </cfRule>
    <cfRule type="cellIs" priority="2" operator="equal" dxfId="1">
      <formula>"Open"</formula>
    </cfRule>
    <cfRule type="cellIs" priority="3" operator="equal" dxfId="2">
      <formula>"Blocker"</formula>
    </cfRule>
  </conditionalFormatting>
  <dataValidations count="1">
    <dataValidation sqref="C5:C11" showDropDown="0" showInputMessage="0" showErrorMessage="0" allowBlank="0" type="list">
      <formula1>"Open,Resolved,Blocker"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22" customWidth="1" min="4" max="4"/>
    <col width="14" customWidth="1" min="5" max="5"/>
    <col width="38" customWidth="1" min="6" max="6"/>
  </cols>
  <sheetData>
    <row r="1" ht="32" customHeight="1">
      <c r="A1" s="1" t="inlineStr">
        <is>
          <t>User Stories</t>
        </is>
      </c>
    </row>
    <row r="2" ht="18" customHeight="1">
      <c r="A2" s="2" t="inlineStr">
        <is>
          <t>Business-language US-01..US-12 with build-precise links to features and packets.</t>
        </is>
      </c>
    </row>
    <row r="4" ht="28" customHeight="1">
      <c r="A4" s="4" t="inlineStr">
        <is>
          <t>ID</t>
        </is>
      </c>
      <c r="B4" s="4" t="inlineStr">
        <is>
          <t>Story</t>
        </is>
      </c>
      <c r="C4" s="4" t="inlineStr">
        <is>
          <t>Features</t>
        </is>
      </c>
      <c r="D4" s="4" t="inlineStr">
        <is>
          <t>Packets</t>
        </is>
      </c>
      <c r="E4" s="4" t="inlineStr">
        <is>
          <t>Status</t>
        </is>
      </c>
      <c r="F4" s="4" t="inlineStr">
        <is>
          <t>Notes</t>
        </is>
      </c>
    </row>
    <row r="5">
      <c r="A5" s="17" t="inlineStr">
        <is>
          <t>US-01</t>
        </is>
      </c>
      <c r="B5" s="17" t="inlineStr">
        <is>
          <t>Add a book to my library.</t>
        </is>
      </c>
      <c r="C5" s="17" t="inlineStr">
        <is>
          <t>F-002, F-004</t>
        </is>
      </c>
      <c r="D5" s="17" t="inlineStr">
        <is>
          <t>S-003, S-010</t>
        </is>
      </c>
      <c r="E5" s="17" t="inlineStr">
        <is>
          <t>Done</t>
        </is>
      </c>
      <c r="F5" s="17" t="inlineStr">
        <is>
          <t>S-003 + S-010 both green.</t>
        </is>
      </c>
    </row>
    <row r="6">
      <c r="A6" s="18" t="inlineStr">
        <is>
          <t>US-02</t>
        </is>
      </c>
      <c r="B6" s="18" t="inlineStr">
        <is>
          <t>See all my books on one page.</t>
        </is>
      </c>
      <c r="C6" s="18" t="inlineStr">
        <is>
          <t>F-003</t>
        </is>
      </c>
      <c r="D6" s="18" t="inlineStr">
        <is>
          <t>S-004, S-009</t>
        </is>
      </c>
      <c r="E6" s="18" t="inlineStr">
        <is>
          <t>Done</t>
        </is>
      </c>
      <c r="F6" s="18" t="inlineStr">
        <is>
          <t>S-004 + S-009 both green.</t>
        </is>
      </c>
    </row>
    <row r="7">
      <c r="A7" s="17" t="inlineStr">
        <is>
          <t>US-03</t>
        </is>
      </c>
      <c r="B7" s="17" t="inlineStr">
        <is>
          <t>Edit a book's details.</t>
        </is>
      </c>
      <c r="C7" s="17" t="inlineStr">
        <is>
          <t>F-002, F-004</t>
        </is>
      </c>
      <c r="D7" s="17" t="inlineStr">
        <is>
          <t>S-005, S-011</t>
        </is>
      </c>
      <c r="E7" s="17" t="inlineStr">
        <is>
          <t>Done</t>
        </is>
      </c>
      <c r="F7" s="17" t="inlineStr">
        <is>
          <t>S-005 + S-011 both green.</t>
        </is>
      </c>
    </row>
    <row r="8">
      <c r="A8" s="18" t="inlineStr">
        <is>
          <t>US-04</t>
        </is>
      </c>
      <c r="B8" s="18" t="inlineStr">
        <is>
          <t>Delete a book.</t>
        </is>
      </c>
      <c r="C8" s="18" t="inlineStr">
        <is>
          <t>F-002, F-003</t>
        </is>
      </c>
      <c r="D8" s="18" t="inlineStr">
        <is>
          <t>S-006, S-009</t>
        </is>
      </c>
      <c r="E8" s="18" t="inlineStr">
        <is>
          <t>Done</t>
        </is>
      </c>
      <c r="F8" s="18" t="inlineStr">
        <is>
          <t>S-006 + S-009 both green.</t>
        </is>
      </c>
    </row>
    <row r="9">
      <c r="A9" s="17" t="inlineStr">
        <is>
          <t>US-05</t>
        </is>
      </c>
      <c r="B9" s="17" t="inlineStr">
        <is>
          <t>Search by title or author.</t>
        </is>
      </c>
      <c r="C9" s="17" t="inlineStr">
        <is>
          <t>F-005</t>
        </is>
      </c>
      <c r="D9" s="17" t="inlineStr">
        <is>
          <t>S-007, S-012</t>
        </is>
      </c>
      <c r="E9" s="17" t="inlineStr">
        <is>
          <t>Done</t>
        </is>
      </c>
      <c r="F9" s="17" t="inlineStr">
        <is>
          <t>S-007 + S-012 both green.</t>
        </is>
      </c>
    </row>
    <row r="10">
      <c r="A10" s="18" t="inlineStr">
        <is>
          <t>US-06</t>
        </is>
      </c>
      <c r="B10" s="18" t="inlineStr">
        <is>
          <t>Filter by author.</t>
        </is>
      </c>
      <c r="C10" s="18" t="inlineStr">
        <is>
          <t>F-006</t>
        </is>
      </c>
      <c r="D10" s="18" t="inlineStr">
        <is>
          <t>S-007, S-012</t>
        </is>
      </c>
      <c r="E10" s="18" t="inlineStr">
        <is>
          <t>Done</t>
        </is>
      </c>
      <c r="F10" s="18" t="inlineStr">
        <is>
          <t>S-007 + S-012 both green.</t>
        </is>
      </c>
    </row>
    <row r="11">
      <c r="A11" s="17" t="inlineStr">
        <is>
          <t>US-07</t>
        </is>
      </c>
      <c r="B11" s="17" t="inlineStr">
        <is>
          <t>Filter by genre.</t>
        </is>
      </c>
      <c r="C11" s="17" t="inlineStr">
        <is>
          <t>F-006</t>
        </is>
      </c>
      <c r="D11" s="17" t="inlineStr">
        <is>
          <t>S-007, S-012</t>
        </is>
      </c>
      <c r="E11" s="17" t="inlineStr">
        <is>
          <t>Done</t>
        </is>
      </c>
      <c r="F11" s="17" t="inlineStr">
        <is>
          <t>S-007 + S-012 both green.</t>
        </is>
      </c>
    </row>
    <row r="12">
      <c r="A12" s="18" t="inlineStr">
        <is>
          <t>US-08</t>
        </is>
      </c>
      <c r="B12" s="18" t="inlineStr">
        <is>
          <t>Filter by reading status.</t>
        </is>
      </c>
      <c r="C12" s="18" t="inlineStr">
        <is>
          <t>F-006</t>
        </is>
      </c>
      <c r="D12" s="18" t="inlineStr">
        <is>
          <t>S-007, S-012</t>
        </is>
      </c>
      <c r="E12" s="18" t="inlineStr">
        <is>
          <t>Done</t>
        </is>
      </c>
      <c r="F12" s="18" t="inlineStr">
        <is>
          <t>S-007 + S-012 both green.</t>
        </is>
      </c>
    </row>
    <row r="13">
      <c r="A13" s="17" t="inlineStr">
        <is>
          <t>US-09</t>
        </is>
      </c>
      <c r="B13" s="17" t="inlineStr">
        <is>
          <t>See how many books / how many read.</t>
        </is>
      </c>
      <c r="C13" s="17" t="inlineStr">
        <is>
          <t>F-007</t>
        </is>
      </c>
      <c r="D13" s="17" t="inlineStr">
        <is>
          <t>S-008</t>
        </is>
      </c>
      <c r="E13" s="17" t="inlineStr">
        <is>
          <t>Done</t>
        </is>
      </c>
      <c r="F13" s="17" t="inlineStr">
        <is>
          <t>S-008 covers stats client-side.</t>
        </is>
      </c>
    </row>
    <row r="14">
      <c r="A14" s="18" t="inlineStr">
        <is>
          <t>US-10</t>
        </is>
      </c>
      <c r="B14" s="18" t="inlineStr">
        <is>
          <t>A friendly home page.</t>
        </is>
      </c>
      <c r="C14" s="18" t="inlineStr">
        <is>
          <t>F-001</t>
        </is>
      </c>
      <c r="D14" s="18" t="inlineStr">
        <is>
          <t>S-008</t>
        </is>
      </c>
      <c r="E14" s="18" t="inlineStr">
        <is>
          <t>Done</t>
        </is>
      </c>
      <c r="F14" s="18" t="inlineStr">
        <is>
          <t>S-008 hero + features + stats + CTAs.</t>
        </is>
      </c>
    </row>
    <row r="15">
      <c r="A15" s="17" t="inlineStr">
        <is>
          <t>US-11</t>
        </is>
      </c>
      <c r="B15" s="17" t="inlineStr">
        <is>
          <t>Use the app on my phone.</t>
        </is>
      </c>
      <c r="C15" s="17" t="inlineStr">
        <is>
          <t>F-001..F-006</t>
        </is>
      </c>
      <c r="D15" s="17" t="inlineStr">
        <is>
          <t>S-008..S-012 (Q-003)</t>
        </is>
      </c>
      <c r="E15" s="17" t="inlineStr">
        <is>
          <t>Done</t>
        </is>
      </c>
      <c r="F15" s="17" t="inlineStr">
        <is>
          <t>S-008..S-012 honor Q-003 (responsive at 360 px) in tests.</t>
        </is>
      </c>
    </row>
    <row r="16">
      <c r="A16" s="18" t="inlineStr">
        <is>
          <t>US-12</t>
        </is>
      </c>
      <c r="B16" s="18" t="inlineStr">
        <is>
          <t>Inline form errors next to fields.</t>
        </is>
      </c>
      <c r="C16" s="18" t="inlineStr">
        <is>
          <t>F-004</t>
        </is>
      </c>
      <c r="D16" s="18" t="inlineStr">
        <is>
          <t>S-010, S-011</t>
        </is>
      </c>
      <c r="E16" s="18" t="inlineStr">
        <is>
          <t>Done</t>
        </is>
      </c>
      <c r="F16" s="18" t="inlineStr">
        <is>
          <t>S-010 inline errors with aria-describedby.</t>
        </is>
      </c>
    </row>
  </sheetData>
  <mergeCells count="2">
    <mergeCell ref="A2:F2"/>
    <mergeCell ref="A1:F1"/>
  </mergeCells>
  <conditionalFormatting sqref="E5:E1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E5:E16" showDropDown="0" showInputMessage="0" showErrorMessage="0" allowBlank="0" errorTitle="Invalid status" error="Pick one of: Not started, In progress, Done, Blocked" type="list">
      <formula1>"Not started,In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2026-06-23T07:53:19Z</dcterms:created>
  <dcterms:modified xsi:type="dcterms:W3CDTF">2026-06-29T08:32:23Z</dcterms:modified>
</cp:coreProperties>
</file>